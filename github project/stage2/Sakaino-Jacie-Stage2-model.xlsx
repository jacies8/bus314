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ciesakaino/Downloads/"/>
    </mc:Choice>
  </mc:AlternateContent>
  <xr:revisionPtr revIDLastSave="0" documentId="8_{516D15AD-CE87-0047-A122-DBA098A6DDD1}" xr6:coauthVersionLast="47" xr6:coauthVersionMax="47" xr10:uidLastSave="{00000000-0000-0000-0000-000000000000}"/>
  <bookViews>
    <workbookView xWindow="-2520" yWindow="-21000" windowWidth="19980" windowHeight="21000" tabRatio="500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 &amp; Assump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9" i="4" l="1"/>
  <c r="C79" i="4"/>
  <c r="D77" i="4"/>
  <c r="C77" i="4"/>
  <c r="D76" i="4"/>
  <c r="C76" i="4"/>
  <c r="D75" i="4"/>
  <c r="C75" i="4"/>
  <c r="C74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4" i="4"/>
  <c r="C64" i="4"/>
  <c r="D63" i="4"/>
  <c r="C63" i="4"/>
  <c r="D61" i="4"/>
  <c r="D62" i="4" s="1"/>
  <c r="C61" i="4"/>
  <c r="C62" i="4" s="1"/>
  <c r="C60" i="4"/>
  <c r="D59" i="4"/>
  <c r="D60" i="4" s="1"/>
  <c r="C59" i="4"/>
  <c r="D54" i="4"/>
  <c r="C54" i="4"/>
  <c r="D52" i="4"/>
  <c r="C52" i="4"/>
  <c r="D51" i="4"/>
  <c r="C51" i="4"/>
  <c r="D50" i="4"/>
  <c r="C50" i="4"/>
  <c r="D47" i="4"/>
  <c r="D46" i="4"/>
  <c r="D41" i="4"/>
  <c r="C41" i="4"/>
  <c r="D40" i="4"/>
  <c r="D55" i="4" s="1"/>
  <c r="D39" i="4"/>
  <c r="D81" i="4" s="1"/>
  <c r="C39" i="4"/>
  <c r="C81" i="4" s="1"/>
  <c r="D38" i="4"/>
  <c r="D56" i="4" s="1"/>
  <c r="C38" i="4"/>
  <c r="C56" i="4" s="1"/>
  <c r="D36" i="4"/>
  <c r="C36" i="4"/>
  <c r="C40" i="4" s="1"/>
  <c r="D35" i="4"/>
  <c r="D74" i="4" s="1"/>
  <c r="C35" i="4"/>
  <c r="D25" i="4"/>
  <c r="C25" i="4"/>
  <c r="D18" i="4"/>
  <c r="D10" i="4"/>
  <c r="C10" i="4"/>
  <c r="C47" i="4" s="1"/>
  <c r="D27" i="3"/>
  <c r="C27" i="3"/>
  <c r="D21" i="3"/>
  <c r="C21" i="3"/>
  <c r="D15" i="3"/>
  <c r="D30" i="3" s="1"/>
  <c r="D31" i="3" s="1"/>
  <c r="C15" i="3"/>
  <c r="C30" i="3" s="1"/>
  <c r="C31" i="3" s="1"/>
  <c r="D15" i="2"/>
  <c r="C15" i="2"/>
  <c r="D10" i="2"/>
  <c r="D11" i="2" s="1"/>
  <c r="C10" i="2"/>
  <c r="C11" i="2" s="1"/>
  <c r="D7" i="2"/>
  <c r="D16" i="2" s="1"/>
  <c r="C7" i="2"/>
  <c r="C16" i="2" s="1"/>
  <c r="D40" i="1"/>
  <c r="C40" i="1"/>
  <c r="D32" i="1"/>
  <c r="C32" i="1"/>
  <c r="D27" i="1"/>
  <c r="D33" i="1" s="1"/>
  <c r="D41" i="1" s="1"/>
  <c r="C27" i="1"/>
  <c r="C33" i="1" s="1"/>
  <c r="C41" i="1" s="1"/>
  <c r="D19" i="1"/>
  <c r="D18" i="1"/>
  <c r="C18" i="1"/>
  <c r="C19" i="1" s="1"/>
  <c r="D12" i="1"/>
  <c r="C12" i="1"/>
  <c r="C55" i="4" l="1"/>
  <c r="C48" i="4"/>
  <c r="C20" i="2"/>
  <c r="C22" i="2" s="1"/>
  <c r="C27" i="2" s="1"/>
  <c r="C25" i="2"/>
  <c r="D20" i="2"/>
  <c r="D22" i="2" s="1"/>
  <c r="D27" i="2" s="1"/>
  <c r="D25" i="2"/>
  <c r="C83" i="4"/>
  <c r="D83" i="4"/>
  <c r="C46" i="4"/>
  <c r="C80" i="4"/>
  <c r="D80" i="4"/>
  <c r="C58" i="4"/>
  <c r="D58" i="4"/>
  <c r="C82" i="4"/>
  <c r="D48" i="4"/>
  <c r="D82" i="4"/>
</calcChain>
</file>

<file path=xl/sharedStrings.xml><?xml version="1.0" encoding="utf-8"?>
<sst xmlns="http://schemas.openxmlformats.org/spreadsheetml/2006/main" count="466" uniqueCount="350">
  <si>
    <t>ARCUTIS BIOTHERAPEUTICS, INC. (ARQT) — BALANCE SHEET</t>
  </si>
  <si>
    <t>As of December 31 (USD $000s)   |   Source: SEC EDGAR 10-K FY2024 (filed 2025-02-25)</t>
  </si>
  <si>
    <t>Line Item</t>
  </si>
  <si>
    <t>FY2023 (Prior)</t>
  </si>
  <si>
    <t>FY2024 (Current)</t>
  </si>
  <si>
    <t>Source / Notes</t>
  </si>
  <si>
    <t xml:space="preserve">  ASSETS</t>
  </si>
  <si>
    <t xml:space="preserve">  Current Assets</t>
  </si>
  <si>
    <t xml:space="preserve">  Cash and Cash Equivalents</t>
  </si>
  <si>
    <t>10-K FY2024</t>
  </si>
  <si>
    <t xml:space="preserve">  Restricted Cash (Current)</t>
  </si>
  <si>
    <t xml:space="preserve">  Marketable Securities</t>
  </si>
  <si>
    <t xml:space="preserve">  Trade Receivables, Net</t>
  </si>
  <si>
    <t xml:space="preserve">  Inventory</t>
  </si>
  <si>
    <t xml:space="preserve">  Prepaid Expenses &amp; Other Current</t>
  </si>
  <si>
    <t>Total Current Assets</t>
  </si>
  <si>
    <t xml:space="preserve">  Non-Current Assets</t>
  </si>
  <si>
    <t xml:space="preserve">  Property &amp; Equipment, Net</t>
  </si>
  <si>
    <t xml:space="preserve">  Intangible Assets, Net</t>
  </si>
  <si>
    <t xml:space="preserve">  Operating Lease Right-of-Use Asset</t>
  </si>
  <si>
    <t xml:space="preserve">  Other Non-Current Assets</t>
  </si>
  <si>
    <t>Total Non-Current Assets</t>
  </si>
  <si>
    <t>TOTAL ASSETS</t>
  </si>
  <si>
    <t xml:space="preserve">  LIABILITIES</t>
  </si>
  <si>
    <t xml:space="preserve">  Current Liabilities</t>
  </si>
  <si>
    <t xml:space="preserve">  Accounts Payable</t>
  </si>
  <si>
    <t xml:space="preserve">  Accrued Liabilities</t>
  </si>
  <si>
    <t xml:space="preserve">  Current Portion Long-Term Debt</t>
  </si>
  <si>
    <t xml:space="preserve">  Operating Lease Liability (Current)</t>
  </si>
  <si>
    <t>Total Current Liabilities</t>
  </si>
  <si>
    <t xml:space="preserve">  Non-Current Liabilities</t>
  </si>
  <si>
    <t xml:space="preserve">  Long-Term Debt, Net</t>
  </si>
  <si>
    <t xml:space="preserve">  Operating Lease Liability (Non-Current)</t>
  </si>
  <si>
    <t xml:space="preserve">  Other Long-Term Liabilities</t>
  </si>
  <si>
    <t>Total Non-Current Liabilities</t>
  </si>
  <si>
    <t>TOTAL LIABILITIES</t>
  </si>
  <si>
    <t xml:space="preserve">  STOCKHOLDERS' EQUITY</t>
  </si>
  <si>
    <t xml:space="preserve">  Common Stock (Par Value)</t>
  </si>
  <si>
    <t xml:space="preserve">  Additional Paid-In Capital</t>
  </si>
  <si>
    <t xml:space="preserve">  Accumulated Other Comprehensive Income</t>
  </si>
  <si>
    <t xml:space="preserve">  Accumulated Deficit</t>
  </si>
  <si>
    <t>Total Stockholders' Equity</t>
  </si>
  <si>
    <t>TOTAL LIABILITIES &amp; EQUITY</t>
  </si>
  <si>
    <t>ARCUTIS BIOTHERAPEUTICS, INC. (ARQT) — INCOME STATEMENT</t>
  </si>
  <si>
    <t>Year Ended December 31 (USD $000s)   |   Source: SEC EDGAR 10-K FY2024 / Q4 2024 Earnings Release (2025-02-25)</t>
  </si>
  <si>
    <t>FY2023</t>
  </si>
  <si>
    <t>FY2024</t>
  </si>
  <si>
    <t xml:space="preserve">  REVENUE</t>
  </si>
  <si>
    <t xml:space="preserve">  Net Product Revenue (ZORYVE)</t>
  </si>
  <si>
    <t>10-K FY2024 / Q4 ER</t>
  </si>
  <si>
    <t xml:space="preserve">  Other Revenue (License / Partner)</t>
  </si>
  <si>
    <t>Total Revenues</t>
  </si>
  <si>
    <t xml:space="preserve">  COST OF SALES</t>
  </si>
  <si>
    <t xml:space="preserve">  Cost of Sales</t>
  </si>
  <si>
    <t>Gross Profit</t>
  </si>
  <si>
    <t>Gross Margin %</t>
  </si>
  <si>
    <t xml:space="preserve">  OPERATING EXPENSES</t>
  </si>
  <si>
    <t xml:space="preserve">  Research &amp; Development</t>
  </si>
  <si>
    <t xml:space="preserve">  Selling, General &amp; Admin (SG&amp;A)</t>
  </si>
  <si>
    <t>Total Operating Expenses</t>
  </si>
  <si>
    <t>EBIT (Operating Loss)</t>
  </si>
  <si>
    <t xml:space="preserve">  NON-OPERATING ITEMS</t>
  </si>
  <si>
    <t xml:space="preserve">  Other Income (Investment / FX)</t>
  </si>
  <si>
    <t xml:space="preserve">  Interest Expense</t>
  </si>
  <si>
    <t>Loss Before Income Taxes</t>
  </si>
  <si>
    <t xml:space="preserve">  Provision for Income Taxes</t>
  </si>
  <si>
    <t>NET LOSS</t>
  </si>
  <si>
    <t xml:space="preserve">  SUPPLEMENTAL / DERIVED ITEMS</t>
  </si>
  <si>
    <t xml:space="preserve">  Depreciation &amp; Amortization</t>
  </si>
  <si>
    <t>EBITDA</t>
  </si>
  <si>
    <t xml:space="preserve">  Shares Outstanding (000s)</t>
  </si>
  <si>
    <t>10-K cover page</t>
  </si>
  <si>
    <t>Loss Per Share (Basic)</t>
  </si>
  <si>
    <t>ARCUTIS BIOTHERAPEUTICS, INC. (ARQT) — CASH FLOW STATEMENT</t>
  </si>
  <si>
    <t>Year Ended December 31 (USD $000s)   |   Source: SEC EDGAR 10-K FY2024</t>
  </si>
  <si>
    <t xml:space="preserve">  OPERATING ACTIVITIES</t>
  </si>
  <si>
    <t xml:space="preserve">  Net Loss</t>
  </si>
  <si>
    <t xml:space="preserve">  Stock-Based Compensation</t>
  </si>
  <si>
    <t xml:space="preserve">  Non-Cash Interest Expense</t>
  </si>
  <si>
    <t xml:space="preserve">  Change in Trade Receivables</t>
  </si>
  <si>
    <t xml:space="preserve">  Change in Inventory</t>
  </si>
  <si>
    <t xml:space="preserve">  Change in Prepaid &amp; Other</t>
  </si>
  <si>
    <t xml:space="preserve">  Change in Accounts Payable</t>
  </si>
  <si>
    <t xml:space="preserve">  Change in Accrued Liabilities</t>
  </si>
  <si>
    <t xml:space="preserve">  Other Operating Items</t>
  </si>
  <si>
    <t>Net Cash Used in Operating Activities</t>
  </si>
  <si>
    <t xml:space="preserve">  INVESTING ACTIVITIES</t>
  </si>
  <si>
    <t xml:space="preserve">  Purchases of Marketable Securities</t>
  </si>
  <si>
    <t xml:space="preserve">  Maturities of Marketable Securities</t>
  </si>
  <si>
    <t xml:space="preserve">  Purchases of Property &amp; Equipment</t>
  </si>
  <si>
    <t xml:space="preserve">  Acquisition of Intangibles</t>
  </si>
  <si>
    <t>Net Cash from Investing Activities</t>
  </si>
  <si>
    <t xml:space="preserve">  FINANCING ACTIVITIES</t>
  </si>
  <si>
    <t xml:space="preserve">  Proceeds from Follow-on Equity Offering</t>
  </si>
  <si>
    <t xml:space="preserve">  Repayment of Long-Term Debt</t>
  </si>
  <si>
    <t xml:space="preserve">  Proceeds from Stock Options / ESPP</t>
  </si>
  <si>
    <t xml:space="preserve">  Other Financing Activities</t>
  </si>
  <si>
    <t>Net Cash from Financing Activities</t>
  </si>
  <si>
    <t xml:space="preserve">  CASH RECONCILIATION</t>
  </si>
  <si>
    <t xml:space="preserve">  Beginning Cash &amp; Equivalents</t>
  </si>
  <si>
    <t>Net Change in Cash</t>
  </si>
  <si>
    <t>Ending Cash &amp; Cash Equivalents</t>
  </si>
  <si>
    <t>ARCUTIS BIOTHERAPEUTICS, INC. (ARQT) — RATIO ANALYSIS</t>
  </si>
  <si>
    <t>Financial data sourced from SEC EDGAR 10-K (FY2024) and Q4 2024 Earnings Release.  Prepared by: Jacie Sakaino | Date: April 2026</t>
  </si>
  <si>
    <t>Yellow = Inputs</t>
  </si>
  <si>
    <t>Blue = Assumptions</t>
  </si>
  <si>
    <t>Green = Formulas</t>
  </si>
  <si>
    <t>Gray = Outputs</t>
  </si>
  <si>
    <t xml:space="preserve">  SECTION 1: INPUTS</t>
  </si>
  <si>
    <t>Input Name</t>
  </si>
  <si>
    <t>Named Range</t>
  </si>
  <si>
    <t>FY2023 Value</t>
  </si>
  <si>
    <t>FY2024 Value</t>
  </si>
  <si>
    <t>Units</t>
  </si>
  <si>
    <t>Source</t>
  </si>
  <si>
    <t xml:space="preserve">   ► Market / Analyst Inputs</t>
  </si>
  <si>
    <t>Share Price</t>
  </si>
  <si>
    <t>mkt_price</t>
  </si>
  <si>
    <t>$ / share</t>
  </si>
  <si>
    <t>Yahoo Finance / Bloomberg (Apr 2026)</t>
  </si>
  <si>
    <t>Shares Outstanding</t>
  </si>
  <si>
    <t>mkt_shares</t>
  </si>
  <si>
    <t>000s shares</t>
  </si>
  <si>
    <t>Market Capitalization</t>
  </si>
  <si>
    <t>mkt_cap</t>
  </si>
  <si>
    <t>$ 000s</t>
  </si>
  <si>
    <t>Calc: price × shares</t>
  </si>
  <si>
    <t>Cost of Capital (WACC)</t>
  </si>
  <si>
    <t>cost_of_capital</t>
  </si>
  <si>
    <t>%</t>
  </si>
  <si>
    <t>Analyst estimate</t>
  </si>
  <si>
    <t>Effective Tax Rate</t>
  </si>
  <si>
    <t>tax_rate</t>
  </si>
  <si>
    <t>Calc: Taxes / EBT</t>
  </si>
  <si>
    <t xml:space="preserve">   ► Start-of-Year (Prior Year Balance Sheet) Items</t>
  </si>
  <si>
    <t>Start-of-Year: Total Equity</t>
  </si>
  <si>
    <t>startYear_equity</t>
  </si>
  <si>
    <t>BS FY2023 Total Equity</t>
  </si>
  <si>
    <t>Start-of-Year: Inventory</t>
  </si>
  <si>
    <t>startYear_inventories</t>
  </si>
  <si>
    <t>BS FY2023 Inventory</t>
  </si>
  <si>
    <t>Start-of-Year: Receivables</t>
  </si>
  <si>
    <t>startYear_receivables</t>
  </si>
  <si>
    <t>BS FY2023 Receivables</t>
  </si>
  <si>
    <t>Start-of-Year: Total Assets</t>
  </si>
  <si>
    <t>startYear_assets_total</t>
  </si>
  <si>
    <t>BS FY2023 Total Assets</t>
  </si>
  <si>
    <t>Start-of-Year: Total Capitalization</t>
  </si>
  <si>
    <t>startYear_total_cap</t>
  </si>
  <si>
    <t>Calc: LTD + Equity at start of FY2023</t>
  </si>
  <si>
    <t xml:space="preserve">   ► Current-Year Items (FY2024)</t>
  </si>
  <si>
    <t>After-Tax Operating Income (NOPAT)</t>
  </si>
  <si>
    <t>INC_nopat</t>
  </si>
  <si>
    <t>Calc: EBIT × (1-t)</t>
  </si>
  <si>
    <t>Net Income</t>
  </si>
  <si>
    <t>INC_net</t>
  </si>
  <si>
    <t>IS Net Loss</t>
  </si>
  <si>
    <t>Revenue (Net)</t>
  </si>
  <si>
    <t>INC_revenue</t>
  </si>
  <si>
    <t>IS Total Revenue</t>
  </si>
  <si>
    <t>EBIT</t>
  </si>
  <si>
    <t>INC_ebit</t>
  </si>
  <si>
    <t>IS EBIT</t>
  </si>
  <si>
    <t>Interest Expense</t>
  </si>
  <si>
    <t>INC_int_exp</t>
  </si>
  <si>
    <t>IS Interest Expense (absolute)</t>
  </si>
  <si>
    <t>Daily Sales</t>
  </si>
  <si>
    <t>INC_daily_sales</t>
  </si>
  <si>
    <t>$ 000s / day</t>
  </si>
  <si>
    <t>Calc: Revenue / 365</t>
  </si>
  <si>
    <t>Cash &amp; Equivalents (Current)</t>
  </si>
  <si>
    <t>currentYear_cash</t>
  </si>
  <si>
    <t>BS Cash</t>
  </si>
  <si>
    <t>Current Assets</t>
  </si>
  <si>
    <t>currentYear_assets_current</t>
  </si>
  <si>
    <t>BS Total Current Assets</t>
  </si>
  <si>
    <t>Current Liabilities</t>
  </si>
  <si>
    <t>currentYear_liabilities_current</t>
  </si>
  <si>
    <t>BS Total Current Liabilities</t>
  </si>
  <si>
    <t>Inventory</t>
  </si>
  <si>
    <t>currentYear_inventories</t>
  </si>
  <si>
    <t>BS Inventory</t>
  </si>
  <si>
    <t>Trade Receivables</t>
  </si>
  <si>
    <t>currentYear_receivables</t>
  </si>
  <si>
    <t>BS Trade Receivables</t>
  </si>
  <si>
    <t>Total Assets</t>
  </si>
  <si>
    <t>currentYear_assets_total</t>
  </si>
  <si>
    <t>BS Total Assets</t>
  </si>
  <si>
    <t>Total Liabilities</t>
  </si>
  <si>
    <t>currentYear_liabilities_total</t>
  </si>
  <si>
    <t>BS Total Liabilities</t>
  </si>
  <si>
    <t>Book Equity</t>
  </si>
  <si>
    <t>currentYear_equity</t>
  </si>
  <si>
    <t>BS Total Stockholders' Equity</t>
  </si>
  <si>
    <t>Long-Term Debt</t>
  </si>
  <si>
    <t>currentYear_ltd</t>
  </si>
  <si>
    <t>BS Long-Term Debt</t>
  </si>
  <si>
    <t>Net Working Capital (NWC)</t>
  </si>
  <si>
    <t>currentYear_nwc</t>
  </si>
  <si>
    <t>Calc: CA - CL</t>
  </si>
  <si>
    <t>Total Capitalization (LTD + Equity)</t>
  </si>
  <si>
    <t>currentYear_total_cap</t>
  </si>
  <si>
    <t>Calc: LTD + Equity</t>
  </si>
  <si>
    <t xml:space="preserve">   ► Average / Mixed-Year Items</t>
  </si>
  <si>
    <t>Average Equity</t>
  </si>
  <si>
    <t>avg_equity</t>
  </si>
  <si>
    <t>Avg(Start, End Equity)</t>
  </si>
  <si>
    <t>Average Total Assets</t>
  </si>
  <si>
    <t>avg_total_assets</t>
  </si>
  <si>
    <t>Avg(Start, End TA)</t>
  </si>
  <si>
    <t>Average Total Capitalization</t>
  </si>
  <si>
    <t>avg_total_cap</t>
  </si>
  <si>
    <t>Avg(Start, End Total Cap)</t>
  </si>
  <si>
    <t>LTD + Equity (Current)</t>
  </si>
  <si>
    <t>ltd_plus_equity</t>
  </si>
  <si>
    <t>Calc: LTD + Book Equity</t>
  </si>
  <si>
    <t xml:space="preserve">  SECTION 2: RATIO CALCULATIONS</t>
  </si>
  <si>
    <t>Ratio Name</t>
  </si>
  <si>
    <t>Named Range / Formula</t>
  </si>
  <si>
    <t>Interpretation</t>
  </si>
  <si>
    <t xml:space="preserve">   ► PERFORMANCE RATIOS</t>
  </si>
  <si>
    <t>Market Value Added (MVA)</t>
  </si>
  <si>
    <t>mkt_cap - currentYear_equity</t>
  </si>
  <si>
    <t>MVA &gt; 0 means market believes company creates value; negative MVA reflects ongoing losses vs. book</t>
  </si>
  <si>
    <t>Market-to-Book Ratio</t>
  </si>
  <si>
    <t>mkt_cap / currentYear_equity</t>
  </si>
  <si>
    <t>x</t>
  </si>
  <si>
    <t>M/B &gt; 1 means market premium over book; high M/B in biopharma signals pipeline optimism</t>
  </si>
  <si>
    <t>Economic Value Added (EVA)</t>
  </si>
  <si>
    <t>INC_nopat - (cost_of_capital × avg_total_cap)</t>
  </si>
  <si>
    <t>Negative EVA = company earning below cost of capital; typical for commercializing biopharma</t>
  </si>
  <si>
    <t xml:space="preserve">   ► PROFITABILITY RATIOS — Start-of-Year Basis</t>
  </si>
  <si>
    <t>ROA (Start-of-Year)</t>
  </si>
  <si>
    <t>INC_net / startYear_assets_total</t>
  </si>
  <si>
    <t>Return on beginning-of-year assets; negative reflects losses</t>
  </si>
  <si>
    <t>ROC (Start-of-Year)</t>
  </si>
  <si>
    <t>INC_nopat / startYear_total_cap</t>
  </si>
  <si>
    <t>Return on start capital; NOPAT-based; negative = value destruction</t>
  </si>
  <si>
    <t>ROE (Start-of-Year)</t>
  </si>
  <si>
    <t>INC_net / startYear_equity</t>
  </si>
  <si>
    <t>Return on beginning equity; large negative reflects heavy pre-revenue losses</t>
  </si>
  <si>
    <t xml:space="preserve">   ► PROFITABILITY RATIOS — Average Basis</t>
  </si>
  <si>
    <t>ROA (Average)</t>
  </si>
  <si>
    <t>INC_net / avg_total_assets</t>
  </si>
  <si>
    <t>Average-asset ROA smooths period-end distortions</t>
  </si>
  <si>
    <t>ROC (Average)</t>
  </si>
  <si>
    <t>INC_nopat / avg_total_cap</t>
  </si>
  <si>
    <t>Average-capital NOPAT ROC</t>
  </si>
  <si>
    <t>ROE (Average)</t>
  </si>
  <si>
    <t>INC_net / avg_equity</t>
  </si>
  <si>
    <t>Average-equity ROE</t>
  </si>
  <si>
    <t xml:space="preserve">   ► EFFICIENCY RATIOS</t>
  </si>
  <si>
    <t>Asset Turnover</t>
  </si>
  <si>
    <t>INC_revenue / avg_total_assets</t>
  </si>
  <si>
    <t>Revenue per dollar of assets; low for commercial-stage biopharma</t>
  </si>
  <si>
    <t>Receivables Turnover</t>
  </si>
  <si>
    <t>INC_revenue / currentYear_receivables</t>
  </si>
  <si>
    <t>Times receivables collected per year; declining = longer collection cycles</t>
  </si>
  <si>
    <t>Avg Collection Period (DSO)</t>
  </si>
  <si>
    <t>365 / Receivables Turnover</t>
  </si>
  <si>
    <t>days</t>
  </si>
  <si>
    <t>Days to collect; rising DSO in FY2024 reflects rapid rev growth + AR lag</t>
  </si>
  <si>
    <t>Inventory Turnover</t>
  </si>
  <si>
    <t>COGS / currentYear_inventories</t>
  </si>
  <si>
    <t>COGS-based inventory turns; specialty biopharma typically low</t>
  </si>
  <si>
    <t>Days in Inventory</t>
  </si>
  <si>
    <t>365 / Inventory Turnover</t>
  </si>
  <si>
    <t>Avg days inventory held before sale</t>
  </si>
  <si>
    <t>Profit Margin (Net)</t>
  </si>
  <si>
    <t>INC_net / INC_revenue</t>
  </si>
  <si>
    <t>Net loss narrowing significantly as revenues scale</t>
  </si>
  <si>
    <t>Operating Profit Margin (EBIT)</t>
  </si>
  <si>
    <t>INC_ebit / INC_revenue</t>
  </si>
  <si>
    <t>EBIT margin; negative but improving sharply YoY</t>
  </si>
  <si>
    <t xml:space="preserve">   ► LEVERAGE RATIOS</t>
  </si>
  <si>
    <t>Long-Term Debt Ratio</t>
  </si>
  <si>
    <t>currentYear_ltd / (currentYear_ltd + currentYear_equity)</t>
  </si>
  <si>
    <t>LTD / total cap; improved as $100M debt was repaid in FY2024</t>
  </si>
  <si>
    <t>Debt-to-Equity Ratio</t>
  </si>
  <si>
    <t>currentYear_ltd / currentYear_equity</t>
  </si>
  <si>
    <t>LTD/equity; dramatically improved with equity raise + debt paydown</t>
  </si>
  <si>
    <t>Total Debt Ratio</t>
  </si>
  <si>
    <t>currentYear_liabilities_total / currentYear_assets_total</t>
  </si>
  <si>
    <t>Total liabilities / assets; declining leverage in FY2024</t>
  </si>
  <si>
    <t>Times Interest Earned (TIE)</t>
  </si>
  <si>
    <t>INC_ebit / INC_int_exp</t>
  </si>
  <si>
    <t>Negative TIE is expected pre-profitability; measures coverage cushion</t>
  </si>
  <si>
    <t>Cash Coverage</t>
  </si>
  <si>
    <t>(INC_ebit + DA) / INC_int_exp</t>
  </si>
  <si>
    <t>EBIT+D&amp;A covers interest; also negative while EBIT is negative</t>
  </si>
  <si>
    <t>Debt Burden</t>
  </si>
  <si>
    <t>currentYear_ltd / EBITDA</t>
  </si>
  <si>
    <t>LTD / EBITDA; negative EBITDA makes ratio negative; monitor as EBITDA turns positive</t>
  </si>
  <si>
    <t>Leverage Ratio (Assets / Equity)</t>
  </si>
  <si>
    <t>currentYear_assets_total / currentYear_equity</t>
  </si>
  <si>
    <t>Equity multiplier for Du Pont; falling as equity expands</t>
  </si>
  <si>
    <t xml:space="preserve">   ► LIQUIDITY RATIOS</t>
  </si>
  <si>
    <t>NWC-to-Assets</t>
  </si>
  <si>
    <t>currentYear_nwc / currentYear_assets_total</t>
  </si>
  <si>
    <t>NWC buffer relative to asset base; strong ratio confirms liquidity depth</t>
  </si>
  <si>
    <t>Current Ratio</t>
  </si>
  <si>
    <t>currentYear_assets_current / currentYear_liabilities_current</t>
  </si>
  <si>
    <t>&gt;1 is healthy; ARQT well above 1 — strong short-term solvency</t>
  </si>
  <si>
    <t>Quick Ratio</t>
  </si>
  <si>
    <t>(currentYear_assets_current - currentYear_inventories) / currentYear_liabilities_current</t>
  </si>
  <si>
    <t>Strips inventory; ARQT liquid assets far exceed current liabilities</t>
  </si>
  <si>
    <t>Cash Ratio</t>
  </si>
  <si>
    <t>currentYear_cash / currentYear_liabilities_current</t>
  </si>
  <si>
    <t>Most conservative liquidity; includes only cash &amp; equivalents</t>
  </si>
  <si>
    <t xml:space="preserve">   ► DU PONT ANALYSIS</t>
  </si>
  <si>
    <t>Net Profit Margin (DuPont Step 1)</t>
  </si>
  <si>
    <t>Profitability driver; rapidly improving as revenue scales</t>
  </si>
  <si>
    <t>Asset Turnover (DuPont Step 2)</t>
  </si>
  <si>
    <t>Efficiency driver; improving as revenue grows vs. stable asset base</t>
  </si>
  <si>
    <t>Equity Multiplier / Leverage (DuPont Step 3)</t>
  </si>
  <si>
    <t>avg_total_assets / avg_equity</t>
  </si>
  <si>
    <t>Leverage driver; high multiplier magnifies losses currently</t>
  </si>
  <si>
    <t>ROE (Du Pont = Margin × Turnover × Multiplier)</t>
  </si>
  <si>
    <t>Net Margin × Asset Turnover × Equity Multiplier</t>
  </si>
  <si>
    <t>Three-factor ROE decomposition; negative driven entirely by margin weakness</t>
  </si>
  <si>
    <t>ROA (Du Pont = Margin × Turnover)</t>
  </si>
  <si>
    <t>Net Margin × Asset Turnover</t>
  </si>
  <si>
    <t>Two-factor ROA; both components improving as revenues scale</t>
  </si>
  <si>
    <t>ARCUTIS BIOTHERAPEUTICS (ARQT) — NOTES &amp; ASSUMPTIONS</t>
  </si>
  <si>
    <t>PREPARED BY</t>
  </si>
  <si>
    <t>Jacie Sakaino | Stage 2 Financial Model | April 2026</t>
  </si>
  <si>
    <t>PURPOSE</t>
  </si>
  <si>
    <t>Six-category ratio analysis of ARQT's FY2023 vs. FY2024 financials for CFO review.</t>
  </si>
  <si>
    <t>DATA SOURCES</t>
  </si>
  <si>
    <t>Primary: SEC EDGAR 10-K FY2024 (filed 2025-02-25), CIK 0001787306. Q4 2024 Earnings Release (Arcutis.com, 2025-02-25). Q1–Q3 2024 Quarterly 10-Q filings. Market data: Yahoo Finance / Bloomberg (as of April 2026).</t>
  </si>
  <si>
    <t>REVENUE NOTE</t>
  </si>
  <si>
    <t>FY2024 Net Product Revenue = $166.5M (ZORYVE). Total Revenue = $196.5M including $30M Other Revenue from Sato License Agreement upfront payment. Inputs use Total Revenue for ratio calculations except where Net Product Rev is more appropriate.</t>
  </si>
  <si>
    <t>BALANCE SHEET NOTE</t>
  </si>
  <si>
    <t>FY2024 Balance Sheet figures sourced from 10-K. Total Liabilities and Equity may differ slightly from BS totals due to rounding in the press release vs. 10-K filing. Long-Term Debt reflects $100M partial prepayment made in October 2024.</t>
  </si>
  <si>
    <t>NOPAT ASSUMPTION</t>
  </si>
  <si>
    <t>NOPAT = EBIT × (1 - effective tax rate). FY2024 effective tax rate was near 0% (&lt;0.5%) due to NOL carryforwards. Analyst-adjusted WACC of 10% used for EVA.</t>
  </si>
  <si>
    <t>SHARES OUTSTANDING</t>
  </si>
  <si>
    <t>118,638,235 shares as of February 19, 2025 (per 10-K cover page). Used as FY2024 shares outstanding.</t>
  </si>
  <si>
    <t>MARKET DATA</t>
  </si>
  <si>
    <t>Share price of $14.91 used for FY2024 market cap; $5.10 for FY2023. Source: companiesmarketcap.com / Bloomberg.</t>
  </si>
  <si>
    <t>WACC</t>
  </si>
  <si>
    <t>10% cost of capital assumed for EVA; represents a reasonable estimate for a commercial-stage biopharma with active debt. Analyst should update with CAPM-based WACC when available.</t>
  </si>
  <si>
    <t>COGS ROW</t>
  </si>
  <si>
    <t>Cost of sales used as COGS proxy for Inventory Turnover. FY2024: $19.1M; FY2023: $5.0M.</t>
  </si>
  <si>
    <t>D&amp;A</t>
  </si>
  <si>
    <t>Depreciation &amp; Amortization estimated from management discussion; FY2024 ~$3.1M; FY2023 ~$4.2M.</t>
  </si>
  <si>
    <t>COLOR CODING</t>
  </si>
  <si>
    <t>Yellow bg = user input cells (editable). Blue bg = assumption cells. Green bg = formula cells (auto-calculated). Gray bg = output cells.</t>
  </si>
  <si>
    <t>NAMED RANGES</t>
  </si>
  <si>
    <t>Named range conventions follow course convention (e.g. startYear_equity, currentYear_assets_total, avg_equity). See Ratios tab column B for named range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</si>
</sst>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0.0%;\(0.0%\);\-"/>
    <numFmt numFmtId="166" formatCode="\$0.00;&quot;($&quot;0.00\);\-"/>
    <numFmt numFmtId="167" formatCode="\$0.00"/>
    <numFmt numFmtId="168" formatCode="#,##0;\(#,##0\);\-"/>
    <numFmt numFmtId="169" formatCode="0.00\x;\(0.00&quot;x)&quot;;\-"/>
    <numFmt numFmtId="170" formatCode="#,##0.0;\(#,##0.0\);\-"/>
  </numFmts>
  <fonts count="1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8"/>
      <color rgb="FF595959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9"/>
      <color rgb="FF006400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9"/>
      <color rgb="FF595959"/>
      <name val="Arial"/>
      <family val="2"/>
    </font>
    <font>
      <sz val="10"/>
      <color rgb="FF006400"/>
      <name val="Arial"/>
      <family val="2"/>
    </font>
    <font>
      <sz val="8"/>
      <color rgb="FF0000FF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4472C4"/>
        <bgColor rgb="FF2E75B6"/>
      </patternFill>
    </fill>
    <fill>
      <patternFill patternType="solid">
        <fgColor rgb="FFDEEAF1"/>
        <bgColor rgb="FFE2EFDA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2" fillId="8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164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168" fontId="5" fillId="4" borderId="1" xfId="0" applyNumberFormat="1" applyFont="1" applyFill="1" applyBorder="1" applyAlignment="1">
      <alignment horizontal="right" vertical="center"/>
    </xf>
    <xf numFmtId="164" fontId="15" fillId="7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169" fontId="4" fillId="7" borderId="1" xfId="0" applyNumberFormat="1" applyFont="1" applyFill="1" applyBorder="1" applyAlignment="1">
      <alignment horizontal="right" vertical="center"/>
    </xf>
    <xf numFmtId="169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70" fontId="4" fillId="7" borderId="1" xfId="0" applyNumberFormat="1" applyFont="1" applyFill="1" applyBorder="1" applyAlignment="1">
      <alignment horizontal="right" vertical="center"/>
    </xf>
    <xf numFmtId="170" fontId="4" fillId="6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abSelected="1" zoomScale="125" zoomScaleNormal="100" workbookViewId="0">
      <pane ySplit="3" topLeftCell="A4" activePane="bottomLeft" state="frozen"/>
      <selection pane="bottomLeft" activeCell="G12" sqref="G12"/>
    </sheetView>
  </sheetViews>
  <sheetFormatPr baseColWidth="10" defaultColWidth="8.6640625" defaultRowHeight="15" x14ac:dyDescent="0.2"/>
  <cols>
    <col min="1" max="1" width="38" customWidth="1"/>
    <col min="2" max="2" width="5" customWidth="1"/>
    <col min="3" max="4" width="16" customWidth="1"/>
    <col min="5" max="5" width="22" customWidth="1"/>
  </cols>
  <sheetData>
    <row r="1" spans="1:5" ht="21.75" customHeight="1" x14ac:dyDescent="0.2">
      <c r="A1" s="5" t="s">
        <v>0</v>
      </c>
      <c r="B1" s="5"/>
      <c r="C1" s="5"/>
      <c r="D1" s="5"/>
      <c r="E1" s="5"/>
    </row>
    <row r="2" spans="1:5" ht="15" customHeight="1" x14ac:dyDescent="0.2">
      <c r="A2" s="4" t="s">
        <v>1</v>
      </c>
      <c r="B2" s="4"/>
      <c r="C2" s="4"/>
      <c r="D2" s="4"/>
      <c r="E2" s="4"/>
    </row>
    <row r="3" spans="1:5" ht="15" customHeight="1" x14ac:dyDescent="0.2">
      <c r="A3" s="6" t="s">
        <v>2</v>
      </c>
      <c r="B3" s="6"/>
      <c r="C3" s="6" t="s">
        <v>3</v>
      </c>
      <c r="D3" s="6" t="s">
        <v>4</v>
      </c>
      <c r="E3" s="6" t="s">
        <v>5</v>
      </c>
    </row>
    <row r="4" spans="1:5" ht="15.75" customHeight="1" x14ac:dyDescent="0.2">
      <c r="A4" s="3" t="s">
        <v>6</v>
      </c>
      <c r="B4" s="3"/>
      <c r="C4" s="3"/>
      <c r="D4" s="3"/>
      <c r="E4" s="3"/>
    </row>
    <row r="5" spans="1:5" ht="15.75" customHeight="1" x14ac:dyDescent="0.2">
      <c r="A5" s="3" t="s">
        <v>7</v>
      </c>
      <c r="B5" s="3"/>
      <c r="C5" s="3"/>
      <c r="D5" s="3"/>
      <c r="E5" s="3"/>
    </row>
    <row r="6" spans="1:5" ht="15" customHeight="1" x14ac:dyDescent="0.2">
      <c r="A6" s="7" t="s">
        <v>8</v>
      </c>
      <c r="B6" s="8"/>
      <c r="C6" s="9">
        <v>88398</v>
      </c>
      <c r="D6" s="9">
        <v>71335</v>
      </c>
      <c r="E6" s="10" t="s">
        <v>9</v>
      </c>
    </row>
    <row r="7" spans="1:5" ht="15" customHeight="1" x14ac:dyDescent="0.2">
      <c r="A7" s="7" t="s">
        <v>10</v>
      </c>
      <c r="B7" s="8"/>
      <c r="C7" s="9">
        <v>925</v>
      </c>
      <c r="D7" s="9">
        <v>617</v>
      </c>
      <c r="E7" s="10" t="s">
        <v>9</v>
      </c>
    </row>
    <row r="8" spans="1:5" ht="15" customHeight="1" x14ac:dyDescent="0.2">
      <c r="A8" s="7" t="s">
        <v>11</v>
      </c>
      <c r="B8" s="8"/>
      <c r="C8" s="9">
        <v>183463</v>
      </c>
      <c r="D8" s="9">
        <v>156620</v>
      </c>
      <c r="E8" s="10" t="s">
        <v>9</v>
      </c>
    </row>
    <row r="9" spans="1:5" ht="15" customHeight="1" x14ac:dyDescent="0.2">
      <c r="A9" s="7" t="s">
        <v>12</v>
      </c>
      <c r="B9" s="8"/>
      <c r="C9" s="9">
        <v>25807</v>
      </c>
      <c r="D9" s="9">
        <v>73066</v>
      </c>
      <c r="E9" s="10" t="s">
        <v>9</v>
      </c>
    </row>
    <row r="10" spans="1:5" ht="15" customHeight="1" x14ac:dyDescent="0.2">
      <c r="A10" s="7" t="s">
        <v>13</v>
      </c>
      <c r="B10" s="8"/>
      <c r="C10" s="9">
        <v>13134</v>
      </c>
      <c r="D10" s="9">
        <v>14526</v>
      </c>
      <c r="E10" s="10" t="s">
        <v>9</v>
      </c>
    </row>
    <row r="11" spans="1:5" ht="15" customHeight="1" x14ac:dyDescent="0.2">
      <c r="A11" s="7" t="s">
        <v>14</v>
      </c>
      <c r="B11" s="8"/>
      <c r="C11" s="9">
        <v>18704</v>
      </c>
      <c r="D11" s="9">
        <v>19656</v>
      </c>
      <c r="E11" s="10" t="s">
        <v>9</v>
      </c>
    </row>
    <row r="12" spans="1:5" ht="15" customHeight="1" x14ac:dyDescent="0.2">
      <c r="A12" s="11" t="s">
        <v>15</v>
      </c>
      <c r="B12" s="8"/>
      <c r="C12" s="12">
        <f>SUM(C4:C11)</f>
        <v>330431</v>
      </c>
      <c r="D12" s="12">
        <f>SUM(D4:D11)</f>
        <v>335820</v>
      </c>
      <c r="E12" s="8"/>
    </row>
    <row r="13" spans="1:5" ht="15.75" customHeight="1" x14ac:dyDescent="0.2">
      <c r="A13" s="3" t="s">
        <v>16</v>
      </c>
      <c r="B13" s="3"/>
      <c r="C13" s="3"/>
      <c r="D13" s="3"/>
      <c r="E13" s="3"/>
    </row>
    <row r="14" spans="1:5" ht="15" customHeight="1" x14ac:dyDescent="0.2">
      <c r="A14" s="7" t="s">
        <v>17</v>
      </c>
      <c r="B14" s="8"/>
      <c r="C14" s="9">
        <v>1539</v>
      </c>
      <c r="D14" s="9">
        <v>1041</v>
      </c>
      <c r="E14" s="10" t="s">
        <v>9</v>
      </c>
    </row>
    <row r="15" spans="1:5" ht="15" customHeight="1" x14ac:dyDescent="0.2">
      <c r="A15" s="7" t="s">
        <v>18</v>
      </c>
      <c r="B15" s="8"/>
      <c r="C15" s="9">
        <v>6438</v>
      </c>
      <c r="D15" s="9">
        <v>9479</v>
      </c>
      <c r="E15" s="10" t="s">
        <v>9</v>
      </c>
    </row>
    <row r="16" spans="1:5" ht="15" customHeight="1" x14ac:dyDescent="0.2">
      <c r="A16" s="7" t="s">
        <v>19</v>
      </c>
      <c r="B16" s="8"/>
      <c r="C16" s="9">
        <v>2361</v>
      </c>
      <c r="D16" s="9">
        <v>1953</v>
      </c>
      <c r="E16" s="10" t="s">
        <v>9</v>
      </c>
    </row>
    <row r="17" spans="1:5" ht="15" customHeight="1" x14ac:dyDescent="0.2">
      <c r="A17" s="7" t="s">
        <v>20</v>
      </c>
      <c r="B17" s="8"/>
      <c r="C17" s="9">
        <v>596</v>
      </c>
      <c r="D17" s="9">
        <v>596</v>
      </c>
      <c r="E17" s="10" t="s">
        <v>9</v>
      </c>
    </row>
    <row r="18" spans="1:5" ht="15" customHeight="1" x14ac:dyDescent="0.2">
      <c r="A18" s="11" t="s">
        <v>21</v>
      </c>
      <c r="B18" s="8"/>
      <c r="C18" s="12">
        <f>SUM(C14:C17)</f>
        <v>10934</v>
      </c>
      <c r="D18" s="12">
        <f>SUM(D14:D17)</f>
        <v>13069</v>
      </c>
      <c r="E18" s="8"/>
    </row>
    <row r="19" spans="1:5" ht="15" customHeight="1" x14ac:dyDescent="0.2">
      <c r="A19" s="11" t="s">
        <v>22</v>
      </c>
      <c r="B19" s="8"/>
      <c r="C19" s="12">
        <f>C12+C18</f>
        <v>341365</v>
      </c>
      <c r="D19" s="12">
        <f>D12+D18</f>
        <v>348889</v>
      </c>
      <c r="E19" s="8"/>
    </row>
    <row r="20" spans="1:5" ht="15" customHeight="1" x14ac:dyDescent="0.2">
      <c r="A20" s="8"/>
      <c r="B20" s="8"/>
      <c r="C20" s="8"/>
      <c r="D20" s="8"/>
      <c r="E20" s="8"/>
    </row>
    <row r="21" spans="1:5" ht="15.75" customHeight="1" x14ac:dyDescent="0.2">
      <c r="A21" s="3" t="s">
        <v>23</v>
      </c>
      <c r="B21" s="3"/>
      <c r="C21" s="3"/>
      <c r="D21" s="3"/>
      <c r="E21" s="3"/>
    </row>
    <row r="22" spans="1:5" ht="15.75" customHeight="1" x14ac:dyDescent="0.2">
      <c r="A22" s="3" t="s">
        <v>24</v>
      </c>
      <c r="B22" s="3"/>
      <c r="C22" s="3"/>
      <c r="D22" s="3"/>
      <c r="E22" s="3"/>
    </row>
    <row r="23" spans="1:5" ht="15" customHeight="1" x14ac:dyDescent="0.2">
      <c r="A23" s="7" t="s">
        <v>25</v>
      </c>
      <c r="B23" s="8"/>
      <c r="C23" s="9">
        <v>11992</v>
      </c>
      <c r="D23" s="9">
        <v>20191</v>
      </c>
      <c r="E23" s="10" t="s">
        <v>9</v>
      </c>
    </row>
    <row r="24" spans="1:5" ht="15" customHeight="1" x14ac:dyDescent="0.2">
      <c r="A24" s="7" t="s">
        <v>26</v>
      </c>
      <c r="B24" s="8"/>
      <c r="C24" s="9">
        <v>33941</v>
      </c>
      <c r="D24" s="9">
        <v>68174</v>
      </c>
      <c r="E24" s="10" t="s">
        <v>9</v>
      </c>
    </row>
    <row r="25" spans="1:5" ht="15" customHeight="1" x14ac:dyDescent="0.2">
      <c r="A25" s="7" t="s">
        <v>27</v>
      </c>
      <c r="B25" s="8"/>
      <c r="C25" s="9">
        <v>0</v>
      </c>
      <c r="D25" s="9">
        <v>0</v>
      </c>
      <c r="E25" s="10" t="s">
        <v>9</v>
      </c>
    </row>
    <row r="26" spans="1:5" ht="15" customHeight="1" x14ac:dyDescent="0.2">
      <c r="A26" s="7" t="s">
        <v>28</v>
      </c>
      <c r="B26" s="8"/>
      <c r="C26" s="9">
        <v>735</v>
      </c>
      <c r="D26" s="9">
        <v>758</v>
      </c>
      <c r="E26" s="10" t="s">
        <v>9</v>
      </c>
    </row>
    <row r="27" spans="1:5" ht="15" customHeight="1" x14ac:dyDescent="0.2">
      <c r="A27" s="11" t="s">
        <v>29</v>
      </c>
      <c r="B27" s="8"/>
      <c r="C27" s="12">
        <f>SUM(C23:C26)</f>
        <v>46668</v>
      </c>
      <c r="D27" s="12">
        <f>SUM(D23:D26)</f>
        <v>89123</v>
      </c>
      <c r="E27" s="8"/>
    </row>
    <row r="28" spans="1:5" ht="15.75" customHeight="1" x14ac:dyDescent="0.2">
      <c r="A28" s="3" t="s">
        <v>30</v>
      </c>
      <c r="B28" s="3"/>
      <c r="C28" s="3"/>
      <c r="D28" s="3"/>
      <c r="E28" s="3"/>
    </row>
    <row r="29" spans="1:5" ht="15" customHeight="1" x14ac:dyDescent="0.2">
      <c r="A29" s="7" t="s">
        <v>31</v>
      </c>
      <c r="B29" s="8"/>
      <c r="C29" s="9">
        <v>201799</v>
      </c>
      <c r="D29" s="9">
        <v>103337</v>
      </c>
      <c r="E29" s="10" t="s">
        <v>9</v>
      </c>
    </row>
    <row r="30" spans="1:5" ht="15" customHeight="1" x14ac:dyDescent="0.2">
      <c r="A30" s="7" t="s">
        <v>32</v>
      </c>
      <c r="B30" s="8"/>
      <c r="C30" s="9">
        <v>3382</v>
      </c>
      <c r="D30" s="9">
        <v>2955</v>
      </c>
      <c r="E30" s="10" t="s">
        <v>9</v>
      </c>
    </row>
    <row r="31" spans="1:5" ht="15" customHeight="1" x14ac:dyDescent="0.2">
      <c r="A31" s="7" t="s">
        <v>33</v>
      </c>
      <c r="B31" s="8"/>
      <c r="C31" s="9">
        <v>849</v>
      </c>
      <c r="D31" s="9">
        <v>596</v>
      </c>
      <c r="E31" s="10" t="s">
        <v>9</v>
      </c>
    </row>
    <row r="32" spans="1:5" ht="15" customHeight="1" x14ac:dyDescent="0.2">
      <c r="A32" s="11" t="s">
        <v>34</v>
      </c>
      <c r="B32" s="8"/>
      <c r="C32" s="12">
        <f>SUM(C29:C31)</f>
        <v>206030</v>
      </c>
      <c r="D32" s="12">
        <f>SUM(D29:D31)</f>
        <v>106888</v>
      </c>
      <c r="E32" s="8"/>
    </row>
    <row r="33" spans="1:5" ht="15" customHeight="1" x14ac:dyDescent="0.2">
      <c r="A33" s="11" t="s">
        <v>35</v>
      </c>
      <c r="B33" s="8"/>
      <c r="C33" s="12">
        <f>C27+C32</f>
        <v>252698</v>
      </c>
      <c r="D33" s="12">
        <f>D27+D32</f>
        <v>196011</v>
      </c>
      <c r="E33" s="8"/>
    </row>
    <row r="34" spans="1:5" ht="15" customHeight="1" x14ac:dyDescent="0.2">
      <c r="A34" s="8"/>
      <c r="B34" s="8"/>
      <c r="C34" s="8"/>
      <c r="D34" s="8"/>
      <c r="E34" s="8"/>
    </row>
    <row r="35" spans="1:5" ht="15.75" customHeight="1" x14ac:dyDescent="0.2">
      <c r="A35" s="3" t="s">
        <v>36</v>
      </c>
      <c r="B35" s="3"/>
      <c r="C35" s="3"/>
      <c r="D35" s="3"/>
      <c r="E35" s="3"/>
    </row>
    <row r="36" spans="1:5" ht="15" customHeight="1" x14ac:dyDescent="0.2">
      <c r="A36" s="7" t="s">
        <v>37</v>
      </c>
      <c r="B36" s="8"/>
      <c r="C36" s="9">
        <v>9</v>
      </c>
      <c r="D36" s="9">
        <v>12</v>
      </c>
      <c r="E36" s="10" t="s">
        <v>9</v>
      </c>
    </row>
    <row r="37" spans="1:5" ht="15" customHeight="1" x14ac:dyDescent="0.2">
      <c r="A37" s="7" t="s">
        <v>38</v>
      </c>
      <c r="B37" s="8"/>
      <c r="C37" s="9">
        <v>1070558</v>
      </c>
      <c r="D37" s="9">
        <v>1281523</v>
      </c>
      <c r="E37" s="10" t="s">
        <v>9</v>
      </c>
    </row>
    <row r="38" spans="1:5" ht="15" customHeight="1" x14ac:dyDescent="0.2">
      <c r="A38" s="7" t="s">
        <v>39</v>
      </c>
      <c r="B38" s="8"/>
      <c r="C38" s="9">
        <v>4</v>
      </c>
      <c r="D38" s="9">
        <v>143</v>
      </c>
      <c r="E38" s="10" t="s">
        <v>9</v>
      </c>
    </row>
    <row r="39" spans="1:5" ht="15" customHeight="1" x14ac:dyDescent="0.2">
      <c r="A39" s="7" t="s">
        <v>40</v>
      </c>
      <c r="B39" s="8"/>
      <c r="C39" s="9">
        <v>-981904</v>
      </c>
      <c r="D39" s="9">
        <v>-1250736</v>
      </c>
      <c r="E39" s="10" t="s">
        <v>9</v>
      </c>
    </row>
    <row r="40" spans="1:5" ht="15" customHeight="1" x14ac:dyDescent="0.2">
      <c r="A40" s="11" t="s">
        <v>41</v>
      </c>
      <c r="B40" s="8"/>
      <c r="C40" s="12">
        <f>SUM(C36:C39)</f>
        <v>88667</v>
      </c>
      <c r="D40" s="12">
        <f>SUM(D36:D39)</f>
        <v>30942</v>
      </c>
      <c r="E40" s="8"/>
    </row>
    <row r="41" spans="1:5" ht="15" customHeight="1" x14ac:dyDescent="0.2">
      <c r="A41" s="11" t="s">
        <v>42</v>
      </c>
      <c r="B41" s="8"/>
      <c r="C41" s="12">
        <f>C33+C40</f>
        <v>341365</v>
      </c>
      <c r="D41" s="12">
        <f>D33+D40</f>
        <v>226953</v>
      </c>
      <c r="E41" s="8"/>
    </row>
  </sheetData>
  <mergeCells count="9">
    <mergeCell ref="A21:E21"/>
    <mergeCell ref="A22:E22"/>
    <mergeCell ref="A28:E28"/>
    <mergeCell ref="A35:E35"/>
    <mergeCell ref="A1:E1"/>
    <mergeCell ref="A2:E2"/>
    <mergeCell ref="A4:E4"/>
    <mergeCell ref="A5:E5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5" customWidth="1"/>
    <col min="3" max="4" width="16" customWidth="1"/>
    <col min="5" max="5" width="22" customWidth="1"/>
  </cols>
  <sheetData>
    <row r="1" spans="1:5" ht="21.75" customHeight="1" x14ac:dyDescent="0.2">
      <c r="A1" s="5" t="s">
        <v>43</v>
      </c>
      <c r="B1" s="5"/>
      <c r="C1" s="5"/>
      <c r="D1" s="5"/>
      <c r="E1" s="5"/>
    </row>
    <row r="2" spans="1:5" ht="15" customHeight="1" x14ac:dyDescent="0.2">
      <c r="A2" s="4" t="s">
        <v>44</v>
      </c>
      <c r="B2" s="4"/>
      <c r="C2" s="4"/>
      <c r="D2" s="4"/>
      <c r="E2" s="4"/>
    </row>
    <row r="3" spans="1:5" ht="15" customHeight="1" x14ac:dyDescent="0.2">
      <c r="A3" s="6" t="s">
        <v>2</v>
      </c>
      <c r="B3" s="6"/>
      <c r="C3" s="6" t="s">
        <v>45</v>
      </c>
      <c r="D3" s="6" t="s">
        <v>46</v>
      </c>
      <c r="E3" s="6" t="s">
        <v>5</v>
      </c>
    </row>
    <row r="4" spans="1:5" ht="15.75" customHeight="1" x14ac:dyDescent="0.2">
      <c r="A4" s="3" t="s">
        <v>47</v>
      </c>
      <c r="B4" s="3"/>
      <c r="C4" s="3"/>
      <c r="D4" s="3"/>
      <c r="E4" s="3"/>
    </row>
    <row r="5" spans="1:5" ht="15" customHeight="1" x14ac:dyDescent="0.2">
      <c r="A5" s="7" t="s">
        <v>48</v>
      </c>
      <c r="B5" s="8"/>
      <c r="C5" s="9">
        <v>29103</v>
      </c>
      <c r="D5" s="9">
        <v>166510</v>
      </c>
      <c r="E5" s="10" t="s">
        <v>49</v>
      </c>
    </row>
    <row r="6" spans="1:5" ht="15" customHeight="1" x14ac:dyDescent="0.2">
      <c r="A6" s="7" t="s">
        <v>50</v>
      </c>
      <c r="B6" s="8"/>
      <c r="C6" s="9">
        <v>30477</v>
      </c>
      <c r="D6" s="9">
        <v>30000</v>
      </c>
      <c r="E6" s="10" t="s">
        <v>49</v>
      </c>
    </row>
    <row r="7" spans="1:5" ht="15" customHeight="1" x14ac:dyDescent="0.2">
      <c r="A7" s="11" t="s">
        <v>51</v>
      </c>
      <c r="B7" s="8"/>
      <c r="C7" s="12">
        <f>SUM(C4:C6)</f>
        <v>59580</v>
      </c>
      <c r="D7" s="12">
        <f>SUM(D4:D6)</f>
        <v>196510</v>
      </c>
      <c r="E7" s="8"/>
    </row>
    <row r="8" spans="1:5" ht="15.75" customHeight="1" x14ac:dyDescent="0.2">
      <c r="A8" s="3" t="s">
        <v>52</v>
      </c>
      <c r="B8" s="3"/>
      <c r="C8" s="3"/>
      <c r="D8" s="3"/>
      <c r="E8" s="3"/>
    </row>
    <row r="9" spans="1:5" ht="15" customHeight="1" x14ac:dyDescent="0.2">
      <c r="A9" s="7" t="s">
        <v>53</v>
      </c>
      <c r="B9" s="8"/>
      <c r="C9" s="9">
        <v>5000</v>
      </c>
      <c r="D9" s="9">
        <v>19100</v>
      </c>
      <c r="E9" s="10" t="s">
        <v>49</v>
      </c>
    </row>
    <row r="10" spans="1:5" ht="15" customHeight="1" x14ac:dyDescent="0.2">
      <c r="A10" s="11" t="s">
        <v>54</v>
      </c>
      <c r="B10" s="8"/>
      <c r="C10" s="12">
        <f>C7-C9</f>
        <v>54580</v>
      </c>
      <c r="D10" s="12">
        <f>D7-D9</f>
        <v>177410</v>
      </c>
      <c r="E10" s="8"/>
    </row>
    <row r="11" spans="1:5" ht="15" customHeight="1" x14ac:dyDescent="0.2">
      <c r="A11" s="13" t="s">
        <v>55</v>
      </c>
      <c r="B11" s="8"/>
      <c r="C11" s="14">
        <f>C10/C7</f>
        <v>0.91607922121517282</v>
      </c>
      <c r="D11" s="14">
        <f>D10/D7</f>
        <v>0.90280392855325431</v>
      </c>
      <c r="E11" s="8"/>
    </row>
    <row r="12" spans="1:5" ht="15.75" customHeight="1" x14ac:dyDescent="0.2">
      <c r="A12" s="3" t="s">
        <v>56</v>
      </c>
      <c r="B12" s="3"/>
      <c r="C12" s="3"/>
      <c r="D12" s="3"/>
      <c r="E12" s="3"/>
    </row>
    <row r="13" spans="1:5" ht="15" customHeight="1" x14ac:dyDescent="0.2">
      <c r="A13" s="7" t="s">
        <v>57</v>
      </c>
      <c r="B13" s="8"/>
      <c r="C13" s="9">
        <v>110600</v>
      </c>
      <c r="D13" s="9">
        <v>76400</v>
      </c>
      <c r="E13" s="10" t="s">
        <v>49</v>
      </c>
    </row>
    <row r="14" spans="1:5" ht="15" customHeight="1" x14ac:dyDescent="0.2">
      <c r="A14" s="7" t="s">
        <v>58</v>
      </c>
      <c r="B14" s="8"/>
      <c r="C14" s="9">
        <v>185100</v>
      </c>
      <c r="D14" s="9">
        <v>229400</v>
      </c>
      <c r="E14" s="10" t="s">
        <v>49</v>
      </c>
    </row>
    <row r="15" spans="1:5" ht="15" customHeight="1" x14ac:dyDescent="0.2">
      <c r="A15" s="11" t="s">
        <v>59</v>
      </c>
      <c r="B15" s="8"/>
      <c r="C15" s="12">
        <f>C9+SUM(C13:C14)</f>
        <v>300700</v>
      </c>
      <c r="D15" s="12">
        <f>D9+SUM(D13:D14)</f>
        <v>324900</v>
      </c>
      <c r="E15" s="8"/>
    </row>
    <row r="16" spans="1:5" ht="15" customHeight="1" x14ac:dyDescent="0.2">
      <c r="A16" s="11" t="s">
        <v>60</v>
      </c>
      <c r="B16" s="8"/>
      <c r="C16" s="12">
        <f>C7-C15</f>
        <v>-241120</v>
      </c>
      <c r="D16" s="12">
        <f>D7-D15</f>
        <v>-128390</v>
      </c>
      <c r="E16" s="8"/>
    </row>
    <row r="17" spans="1:5" ht="15.75" customHeight="1" x14ac:dyDescent="0.2">
      <c r="A17" s="3" t="s">
        <v>61</v>
      </c>
      <c r="B17" s="3"/>
      <c r="C17" s="3"/>
      <c r="D17" s="3"/>
      <c r="E17" s="3"/>
    </row>
    <row r="18" spans="1:5" ht="15" customHeight="1" x14ac:dyDescent="0.2">
      <c r="A18" s="7" t="s">
        <v>62</v>
      </c>
      <c r="B18" s="8"/>
      <c r="C18" s="9">
        <v>9114</v>
      </c>
      <c r="D18" s="9">
        <v>17058</v>
      </c>
      <c r="E18" s="10" t="s">
        <v>49</v>
      </c>
    </row>
    <row r="19" spans="1:5" ht="15" customHeight="1" x14ac:dyDescent="0.2">
      <c r="A19" s="7" t="s">
        <v>63</v>
      </c>
      <c r="B19" s="8"/>
      <c r="C19" s="9">
        <v>-29107</v>
      </c>
      <c r="D19" s="9">
        <v>-28680</v>
      </c>
      <c r="E19" s="10" t="s">
        <v>49</v>
      </c>
    </row>
    <row r="20" spans="1:5" ht="15" customHeight="1" x14ac:dyDescent="0.2">
      <c r="A20" s="11" t="s">
        <v>64</v>
      </c>
      <c r="B20" s="8"/>
      <c r="C20" s="12">
        <f>C16+SUM(C18:C19)</f>
        <v>-261113</v>
      </c>
      <c r="D20" s="12">
        <f>D16+SUM(D18:D19)</f>
        <v>-140012</v>
      </c>
      <c r="E20" s="8"/>
    </row>
    <row r="21" spans="1:5" ht="15" customHeight="1" x14ac:dyDescent="0.2">
      <c r="A21" s="7" t="s">
        <v>65</v>
      </c>
      <c r="B21" s="8"/>
      <c r="C21" s="9">
        <v>3088</v>
      </c>
      <c r="D21" s="9">
        <v>324</v>
      </c>
      <c r="E21" s="10" t="s">
        <v>49</v>
      </c>
    </row>
    <row r="22" spans="1:5" ht="15" customHeight="1" x14ac:dyDescent="0.2">
      <c r="A22" s="11" t="s">
        <v>66</v>
      </c>
      <c r="B22" s="8"/>
      <c r="C22" s="12">
        <f>C20-C21</f>
        <v>-264201</v>
      </c>
      <c r="D22" s="12">
        <f>D20-D21</f>
        <v>-140336</v>
      </c>
      <c r="E22" s="8"/>
    </row>
    <row r="23" spans="1:5" ht="15.75" customHeight="1" x14ac:dyDescent="0.2">
      <c r="A23" s="3" t="s">
        <v>67</v>
      </c>
      <c r="B23" s="3"/>
      <c r="C23" s="3"/>
      <c r="D23" s="3"/>
      <c r="E23" s="3"/>
    </row>
    <row r="24" spans="1:5" ht="15" customHeight="1" x14ac:dyDescent="0.2">
      <c r="A24" s="7" t="s">
        <v>68</v>
      </c>
      <c r="B24" s="8"/>
      <c r="C24" s="9">
        <v>4200</v>
      </c>
      <c r="D24" s="9">
        <v>3100</v>
      </c>
      <c r="E24" s="10" t="s">
        <v>49</v>
      </c>
    </row>
    <row r="25" spans="1:5" ht="15" customHeight="1" x14ac:dyDescent="0.2">
      <c r="A25" s="13" t="s">
        <v>69</v>
      </c>
      <c r="B25" s="8"/>
      <c r="C25" s="12">
        <f>C16+C24</f>
        <v>-236920</v>
      </c>
      <c r="D25" s="12">
        <f>D16+D24</f>
        <v>-125290</v>
      </c>
      <c r="E25" s="8"/>
    </row>
    <row r="26" spans="1:5" ht="15" customHeight="1" x14ac:dyDescent="0.2">
      <c r="A26" s="7" t="s">
        <v>70</v>
      </c>
      <c r="B26" s="8"/>
      <c r="C26" s="9">
        <v>69319</v>
      </c>
      <c r="D26" s="9">
        <v>118638</v>
      </c>
      <c r="E26" s="10" t="s">
        <v>71</v>
      </c>
    </row>
    <row r="27" spans="1:5" ht="15" customHeight="1" x14ac:dyDescent="0.2">
      <c r="A27" s="13" t="s">
        <v>72</v>
      </c>
      <c r="B27" s="8"/>
      <c r="C27" s="15">
        <f>C22/C26</f>
        <v>-3.8113792755233051</v>
      </c>
      <c r="D27" s="15">
        <f>D22/D26</f>
        <v>-1.182892496501964</v>
      </c>
      <c r="E27" s="8"/>
    </row>
  </sheetData>
  <mergeCells count="7">
    <mergeCell ref="A17:E17"/>
    <mergeCell ref="A23:E23"/>
    <mergeCell ref="A1:E1"/>
    <mergeCell ref="A2:E2"/>
    <mergeCell ref="A4:E4"/>
    <mergeCell ref="A8:E8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5" customWidth="1"/>
    <col min="3" max="4" width="16" customWidth="1"/>
    <col min="5" max="5" width="22" customWidth="1"/>
  </cols>
  <sheetData>
    <row r="1" spans="1:5" ht="21.75" customHeight="1" x14ac:dyDescent="0.2">
      <c r="A1" s="5" t="s">
        <v>73</v>
      </c>
      <c r="B1" s="5"/>
      <c r="C1" s="5"/>
      <c r="D1" s="5"/>
      <c r="E1" s="5"/>
    </row>
    <row r="2" spans="1:5" ht="15" customHeight="1" x14ac:dyDescent="0.2">
      <c r="A2" s="4" t="s">
        <v>74</v>
      </c>
      <c r="B2" s="4"/>
      <c r="C2" s="4"/>
      <c r="D2" s="4"/>
      <c r="E2" s="4"/>
    </row>
    <row r="3" spans="1:5" ht="15" customHeight="1" x14ac:dyDescent="0.2">
      <c r="A3" s="6" t="s">
        <v>2</v>
      </c>
      <c r="B3" s="6"/>
      <c r="C3" s="6" t="s">
        <v>45</v>
      </c>
      <c r="D3" s="6" t="s">
        <v>46</v>
      </c>
      <c r="E3" s="6" t="s">
        <v>5</v>
      </c>
    </row>
    <row r="4" spans="1:5" ht="15.75" customHeight="1" x14ac:dyDescent="0.2">
      <c r="A4" s="3" t="s">
        <v>75</v>
      </c>
      <c r="B4" s="3"/>
      <c r="C4" s="3"/>
      <c r="D4" s="3"/>
      <c r="E4" s="3"/>
    </row>
    <row r="5" spans="1:5" ht="15" customHeight="1" x14ac:dyDescent="0.2">
      <c r="A5" s="7" t="s">
        <v>76</v>
      </c>
      <c r="B5" s="8"/>
      <c r="C5" s="9">
        <v>-262100</v>
      </c>
      <c r="D5" s="9">
        <v>-140000</v>
      </c>
      <c r="E5" s="10" t="s">
        <v>9</v>
      </c>
    </row>
    <row r="6" spans="1:5" ht="15" customHeight="1" x14ac:dyDescent="0.2">
      <c r="A6" s="7" t="s">
        <v>68</v>
      </c>
      <c r="B6" s="8"/>
      <c r="C6" s="9">
        <v>4200</v>
      </c>
      <c r="D6" s="9">
        <v>3100</v>
      </c>
      <c r="E6" s="10" t="s">
        <v>9</v>
      </c>
    </row>
    <row r="7" spans="1:5" ht="15" customHeight="1" x14ac:dyDescent="0.2">
      <c r="A7" s="7" t="s">
        <v>77</v>
      </c>
      <c r="B7" s="8"/>
      <c r="C7" s="9">
        <v>53000</v>
      </c>
      <c r="D7" s="9">
        <v>53800</v>
      </c>
      <c r="E7" s="10" t="s">
        <v>9</v>
      </c>
    </row>
    <row r="8" spans="1:5" ht="15" customHeight="1" x14ac:dyDescent="0.2">
      <c r="A8" s="7" t="s">
        <v>78</v>
      </c>
      <c r="B8" s="8"/>
      <c r="C8" s="9">
        <v>1800</v>
      </c>
      <c r="D8" s="9">
        <v>1600</v>
      </c>
      <c r="E8" s="10" t="s">
        <v>9</v>
      </c>
    </row>
    <row r="9" spans="1:5" ht="15" customHeight="1" x14ac:dyDescent="0.2">
      <c r="A9" s="7" t="s">
        <v>79</v>
      </c>
      <c r="B9" s="8"/>
      <c r="C9" s="9">
        <v>-22700</v>
      </c>
      <c r="D9" s="9">
        <v>-47259</v>
      </c>
      <c r="E9" s="10" t="s">
        <v>9</v>
      </c>
    </row>
    <row r="10" spans="1:5" ht="15" customHeight="1" x14ac:dyDescent="0.2">
      <c r="A10" s="7" t="s">
        <v>80</v>
      </c>
      <c r="B10" s="8"/>
      <c r="C10" s="9">
        <v>-6100</v>
      </c>
      <c r="D10" s="9">
        <v>-1392</v>
      </c>
      <c r="E10" s="10" t="s">
        <v>9</v>
      </c>
    </row>
    <row r="11" spans="1:5" ht="15" customHeight="1" x14ac:dyDescent="0.2">
      <c r="A11" s="7" t="s">
        <v>81</v>
      </c>
      <c r="B11" s="8"/>
      <c r="C11" s="9">
        <v>1100</v>
      </c>
      <c r="D11" s="9">
        <v>1000</v>
      </c>
      <c r="E11" s="10" t="s">
        <v>9</v>
      </c>
    </row>
    <row r="12" spans="1:5" ht="15" customHeight="1" x14ac:dyDescent="0.2">
      <c r="A12" s="7" t="s">
        <v>82</v>
      </c>
      <c r="B12" s="8"/>
      <c r="C12" s="9">
        <v>6200</v>
      </c>
      <c r="D12" s="9">
        <v>8199</v>
      </c>
      <c r="E12" s="10" t="s">
        <v>9</v>
      </c>
    </row>
    <row r="13" spans="1:5" ht="15" customHeight="1" x14ac:dyDescent="0.2">
      <c r="A13" s="7" t="s">
        <v>83</v>
      </c>
      <c r="B13" s="8"/>
      <c r="C13" s="9">
        <v>18000</v>
      </c>
      <c r="D13" s="9">
        <v>34233</v>
      </c>
      <c r="E13" s="10" t="s">
        <v>9</v>
      </c>
    </row>
    <row r="14" spans="1:5" ht="15" customHeight="1" x14ac:dyDescent="0.2">
      <c r="A14" s="7" t="s">
        <v>84</v>
      </c>
      <c r="B14" s="8"/>
      <c r="C14" s="9">
        <v>1500</v>
      </c>
      <c r="D14" s="9">
        <v>-3432</v>
      </c>
      <c r="E14" s="10" t="s">
        <v>9</v>
      </c>
    </row>
    <row r="15" spans="1:5" ht="15" customHeight="1" x14ac:dyDescent="0.2">
      <c r="A15" s="11" t="s">
        <v>85</v>
      </c>
      <c r="B15" s="8"/>
      <c r="C15" s="12">
        <f>SUM(C4:C14)</f>
        <v>-205100</v>
      </c>
      <c r="D15" s="12">
        <f>SUM(D4:D14)</f>
        <v>-90151</v>
      </c>
      <c r="E15" s="8"/>
    </row>
    <row r="16" spans="1:5" ht="15.75" customHeight="1" x14ac:dyDescent="0.2">
      <c r="A16" s="3" t="s">
        <v>86</v>
      </c>
      <c r="B16" s="3"/>
      <c r="C16" s="3"/>
      <c r="D16" s="3"/>
      <c r="E16" s="3"/>
    </row>
    <row r="17" spans="1:5" ht="15" customHeight="1" x14ac:dyDescent="0.2">
      <c r="A17" s="7" t="s">
        <v>87</v>
      </c>
      <c r="B17" s="8"/>
      <c r="C17" s="9">
        <v>-381000</v>
      </c>
      <c r="D17" s="9">
        <v>-345000</v>
      </c>
      <c r="E17" s="10" t="s">
        <v>9</v>
      </c>
    </row>
    <row r="18" spans="1:5" ht="15" customHeight="1" x14ac:dyDescent="0.2">
      <c r="A18" s="7" t="s">
        <v>88</v>
      </c>
      <c r="B18" s="8"/>
      <c r="C18" s="9">
        <v>364000</v>
      </c>
      <c r="D18" s="9">
        <v>372000</v>
      </c>
      <c r="E18" s="10" t="s">
        <v>9</v>
      </c>
    </row>
    <row r="19" spans="1:5" ht="15" customHeight="1" x14ac:dyDescent="0.2">
      <c r="A19" s="7" t="s">
        <v>89</v>
      </c>
      <c r="B19" s="8"/>
      <c r="C19" s="9">
        <v>-500</v>
      </c>
      <c r="D19" s="9">
        <v>-200</v>
      </c>
      <c r="E19" s="10" t="s">
        <v>9</v>
      </c>
    </row>
    <row r="20" spans="1:5" ht="15" customHeight="1" x14ac:dyDescent="0.2">
      <c r="A20" s="7" t="s">
        <v>90</v>
      </c>
      <c r="B20" s="8"/>
      <c r="C20" s="9">
        <v>-1600</v>
      </c>
      <c r="D20" s="9">
        <v>-2000</v>
      </c>
      <c r="E20" s="10" t="s">
        <v>9</v>
      </c>
    </row>
    <row r="21" spans="1:5" ht="15" customHeight="1" x14ac:dyDescent="0.2">
      <c r="A21" s="11" t="s">
        <v>91</v>
      </c>
      <c r="B21" s="8"/>
      <c r="C21" s="12">
        <f>SUM(C17:C20)</f>
        <v>-19100</v>
      </c>
      <c r="D21" s="12">
        <f>SUM(D17:D20)</f>
        <v>24800</v>
      </c>
      <c r="E21" s="8"/>
    </row>
    <row r="22" spans="1:5" ht="15.75" customHeight="1" x14ac:dyDescent="0.2">
      <c r="A22" s="3" t="s">
        <v>92</v>
      </c>
      <c r="B22" s="3"/>
      <c r="C22" s="3"/>
      <c r="D22" s="3"/>
      <c r="E22" s="3"/>
    </row>
    <row r="23" spans="1:5" ht="15" customHeight="1" x14ac:dyDescent="0.2">
      <c r="A23" s="7" t="s">
        <v>93</v>
      </c>
      <c r="B23" s="8"/>
      <c r="C23" s="9">
        <v>87000</v>
      </c>
      <c r="D23" s="9">
        <v>157000</v>
      </c>
      <c r="E23" s="10" t="s">
        <v>9</v>
      </c>
    </row>
    <row r="24" spans="1:5" ht="15" customHeight="1" x14ac:dyDescent="0.2">
      <c r="A24" s="7" t="s">
        <v>94</v>
      </c>
      <c r="B24" s="8"/>
      <c r="C24" s="9">
        <v>0</v>
      </c>
      <c r="D24" s="9">
        <v>-100000</v>
      </c>
      <c r="E24" s="10" t="s">
        <v>9</v>
      </c>
    </row>
    <row r="25" spans="1:5" ht="15" customHeight="1" x14ac:dyDescent="0.2">
      <c r="A25" s="7" t="s">
        <v>95</v>
      </c>
      <c r="B25" s="8"/>
      <c r="C25" s="9">
        <v>3800</v>
      </c>
      <c r="D25" s="9">
        <v>4200</v>
      </c>
      <c r="E25" s="10" t="s">
        <v>9</v>
      </c>
    </row>
    <row r="26" spans="1:5" ht="15" customHeight="1" x14ac:dyDescent="0.2">
      <c r="A26" s="7" t="s">
        <v>96</v>
      </c>
      <c r="B26" s="8"/>
      <c r="C26" s="9">
        <v>-3100</v>
      </c>
      <c r="D26" s="9">
        <v>-2500</v>
      </c>
      <c r="E26" s="10" t="s">
        <v>9</v>
      </c>
    </row>
    <row r="27" spans="1:5" ht="15" customHeight="1" x14ac:dyDescent="0.2">
      <c r="A27" s="11" t="s">
        <v>97</v>
      </c>
      <c r="B27" s="8"/>
      <c r="C27" s="12">
        <f>SUM(C23:C26)</f>
        <v>87700</v>
      </c>
      <c r="D27" s="12">
        <f>SUM(D23:D26)</f>
        <v>58700</v>
      </c>
      <c r="E27" s="8"/>
    </row>
    <row r="28" spans="1:5" ht="15.75" customHeight="1" x14ac:dyDescent="0.2">
      <c r="A28" s="3" t="s">
        <v>98</v>
      </c>
      <c r="B28" s="3"/>
      <c r="C28" s="3"/>
      <c r="D28" s="3"/>
      <c r="E28" s="3"/>
    </row>
    <row r="29" spans="1:5" ht="15" customHeight="1" x14ac:dyDescent="0.2">
      <c r="A29" s="7" t="s">
        <v>99</v>
      </c>
      <c r="B29" s="8"/>
      <c r="C29" s="9">
        <v>119000</v>
      </c>
      <c r="D29" s="9">
        <v>88398</v>
      </c>
      <c r="E29" s="10" t="s">
        <v>9</v>
      </c>
    </row>
    <row r="30" spans="1:5" ht="15" customHeight="1" x14ac:dyDescent="0.2">
      <c r="A30" s="16" t="s">
        <v>100</v>
      </c>
      <c r="B30" s="8"/>
      <c r="C30" s="12">
        <f>C15+C21+C27</f>
        <v>-136500</v>
      </c>
      <c r="D30" s="12">
        <f>D15+D21+D27</f>
        <v>-6651</v>
      </c>
      <c r="E30" s="8"/>
    </row>
    <row r="31" spans="1:5" ht="15" customHeight="1" x14ac:dyDescent="0.2">
      <c r="A31" s="11" t="s">
        <v>101</v>
      </c>
      <c r="B31" s="8"/>
      <c r="C31" s="12">
        <f>C29+C30</f>
        <v>-17500</v>
      </c>
      <c r="D31" s="12">
        <f>D29+D30</f>
        <v>81747</v>
      </c>
      <c r="E31" s="8"/>
    </row>
  </sheetData>
  <mergeCells count="6">
    <mergeCell ref="A28:E28"/>
    <mergeCell ref="A1:E1"/>
    <mergeCell ref="A2:E2"/>
    <mergeCell ref="A4:E4"/>
    <mergeCell ref="A16:E16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2" customWidth="1"/>
    <col min="2" max="2" width="26" customWidth="1"/>
    <col min="3" max="3" width="18" customWidth="1"/>
    <col min="4" max="5" width="20" customWidth="1"/>
    <col min="6" max="6" width="22" customWidth="1"/>
  </cols>
  <sheetData>
    <row r="1" spans="1:6" ht="24" customHeight="1" x14ac:dyDescent="0.2">
      <c r="A1" s="2" t="s">
        <v>102</v>
      </c>
      <c r="B1" s="2"/>
      <c r="C1" s="2"/>
      <c r="D1" s="2"/>
      <c r="E1" s="2"/>
      <c r="F1" s="2"/>
    </row>
    <row r="2" spans="1:6" ht="15" customHeight="1" x14ac:dyDescent="0.2">
      <c r="A2" s="4" t="s">
        <v>103</v>
      </c>
      <c r="B2" s="4"/>
      <c r="C2" s="4"/>
      <c r="D2" s="4"/>
      <c r="E2" s="4"/>
      <c r="F2" s="4"/>
    </row>
    <row r="3" spans="1:6" ht="15" customHeight="1" x14ac:dyDescent="0.2">
      <c r="A3" s="17" t="s">
        <v>104</v>
      </c>
      <c r="B3" s="18" t="s">
        <v>105</v>
      </c>
      <c r="C3" s="19" t="s">
        <v>106</v>
      </c>
      <c r="D3" s="20" t="s">
        <v>107</v>
      </c>
    </row>
    <row r="5" spans="1:6" ht="15.75" customHeight="1" x14ac:dyDescent="0.2">
      <c r="A5" s="3" t="s">
        <v>108</v>
      </c>
      <c r="B5" s="3"/>
      <c r="C5" s="3"/>
      <c r="D5" s="3"/>
      <c r="E5" s="3"/>
      <c r="F5" s="3"/>
    </row>
    <row r="6" spans="1:6" ht="15" customHeight="1" x14ac:dyDescent="0.2">
      <c r="A6" s="6" t="s">
        <v>109</v>
      </c>
      <c r="B6" s="6" t="s">
        <v>110</v>
      </c>
      <c r="C6" s="6" t="s">
        <v>111</v>
      </c>
      <c r="D6" s="6" t="s">
        <v>112</v>
      </c>
      <c r="E6" s="6" t="s">
        <v>113</v>
      </c>
      <c r="F6" s="6" t="s">
        <v>114</v>
      </c>
    </row>
    <row r="7" spans="1:6" ht="15" customHeight="1" x14ac:dyDescent="0.2">
      <c r="A7" s="1" t="s">
        <v>115</v>
      </c>
      <c r="B7" s="1"/>
      <c r="C7" s="1"/>
      <c r="D7" s="1"/>
      <c r="E7" s="1"/>
      <c r="F7" s="1"/>
    </row>
    <row r="8" spans="1:6" ht="18.75" customHeight="1" x14ac:dyDescent="0.2">
      <c r="A8" s="7" t="s">
        <v>116</v>
      </c>
      <c r="B8" s="21" t="s">
        <v>117</v>
      </c>
      <c r="C8" s="22">
        <v>5.0999999999999996</v>
      </c>
      <c r="D8" s="22">
        <v>14.91</v>
      </c>
      <c r="E8" s="23" t="s">
        <v>118</v>
      </c>
      <c r="F8" s="10" t="s">
        <v>119</v>
      </c>
    </row>
    <row r="9" spans="1:6" ht="15" customHeight="1" x14ac:dyDescent="0.2">
      <c r="A9" s="7" t="s">
        <v>120</v>
      </c>
      <c r="B9" s="21" t="s">
        <v>121</v>
      </c>
      <c r="C9" s="24">
        <v>96787</v>
      </c>
      <c r="D9" s="24">
        <v>118638</v>
      </c>
      <c r="E9" s="23" t="s">
        <v>122</v>
      </c>
      <c r="F9" s="10" t="s">
        <v>71</v>
      </c>
    </row>
    <row r="10" spans="1:6" ht="15" customHeight="1" x14ac:dyDescent="0.2">
      <c r="A10" s="7" t="s">
        <v>123</v>
      </c>
      <c r="B10" s="21" t="s">
        <v>124</v>
      </c>
      <c r="C10" s="25">
        <f>C8*C9</f>
        <v>493613.69999999995</v>
      </c>
      <c r="D10" s="25">
        <f>D8*D9</f>
        <v>1768892.58</v>
      </c>
      <c r="E10" s="23" t="s">
        <v>125</v>
      </c>
      <c r="F10" s="10" t="s">
        <v>126</v>
      </c>
    </row>
    <row r="11" spans="1:6" ht="15" customHeight="1" x14ac:dyDescent="0.2">
      <c r="A11" s="7" t="s">
        <v>127</v>
      </c>
      <c r="B11" s="21" t="s">
        <v>128</v>
      </c>
      <c r="C11" s="26">
        <v>0.1</v>
      </c>
      <c r="D11" s="26">
        <v>0.1</v>
      </c>
      <c r="E11" s="23" t="s">
        <v>129</v>
      </c>
      <c r="F11" s="10" t="s">
        <v>130</v>
      </c>
    </row>
    <row r="12" spans="1:6" ht="15" customHeight="1" x14ac:dyDescent="0.2">
      <c r="A12" s="7" t="s">
        <v>131</v>
      </c>
      <c r="B12" s="21" t="s">
        <v>132</v>
      </c>
      <c r="C12" s="26">
        <v>0.02</v>
      </c>
      <c r="D12" s="26">
        <v>2E-3</v>
      </c>
      <c r="E12" s="23" t="s">
        <v>129</v>
      </c>
      <c r="F12" s="10" t="s">
        <v>133</v>
      </c>
    </row>
    <row r="13" spans="1:6" ht="15" customHeight="1" x14ac:dyDescent="0.2">
      <c r="A13" s="1" t="s">
        <v>134</v>
      </c>
      <c r="B13" s="1"/>
      <c r="C13" s="1"/>
      <c r="D13" s="1"/>
      <c r="E13" s="1"/>
      <c r="F13" s="1"/>
    </row>
    <row r="14" spans="1:6" ht="15" customHeight="1" x14ac:dyDescent="0.2">
      <c r="A14" s="7" t="s">
        <v>135</v>
      </c>
      <c r="B14" s="21" t="s">
        <v>136</v>
      </c>
      <c r="C14" s="9">
        <v>88667</v>
      </c>
      <c r="D14" s="9">
        <v>88667</v>
      </c>
      <c r="E14" s="23" t="s">
        <v>125</v>
      </c>
      <c r="F14" s="10" t="s">
        <v>137</v>
      </c>
    </row>
    <row r="15" spans="1:6" ht="15" customHeight="1" x14ac:dyDescent="0.2">
      <c r="A15" s="7" t="s">
        <v>138</v>
      </c>
      <c r="B15" s="21" t="s">
        <v>139</v>
      </c>
      <c r="C15" s="9">
        <v>13134</v>
      </c>
      <c r="D15" s="9">
        <v>13134</v>
      </c>
      <c r="E15" s="23" t="s">
        <v>125</v>
      </c>
      <c r="F15" s="10" t="s">
        <v>140</v>
      </c>
    </row>
    <row r="16" spans="1:6" ht="15" customHeight="1" x14ac:dyDescent="0.2">
      <c r="A16" s="7" t="s">
        <v>141</v>
      </c>
      <c r="B16" s="21" t="s">
        <v>142</v>
      </c>
      <c r="C16" s="9">
        <v>25807</v>
      </c>
      <c r="D16" s="9">
        <v>25807</v>
      </c>
      <c r="E16" s="23" t="s">
        <v>125</v>
      </c>
      <c r="F16" s="10" t="s">
        <v>143</v>
      </c>
    </row>
    <row r="17" spans="1:6" ht="15" customHeight="1" x14ac:dyDescent="0.2">
      <c r="A17" s="7" t="s">
        <v>144</v>
      </c>
      <c r="B17" s="21" t="s">
        <v>145</v>
      </c>
      <c r="C17" s="9">
        <v>341365</v>
      </c>
      <c r="D17" s="9">
        <v>341365</v>
      </c>
      <c r="E17" s="23" t="s">
        <v>125</v>
      </c>
      <c r="F17" s="10" t="s">
        <v>146</v>
      </c>
    </row>
    <row r="18" spans="1:6" ht="18.75" customHeight="1" x14ac:dyDescent="0.2">
      <c r="A18" s="7" t="s">
        <v>147</v>
      </c>
      <c r="B18" s="21" t="s">
        <v>148</v>
      </c>
      <c r="C18" s="9">
        <v>290466</v>
      </c>
      <c r="D18" s="25">
        <f>C34+C33</f>
        <v>290466</v>
      </c>
      <c r="E18" s="23" t="s">
        <v>125</v>
      </c>
      <c r="F18" s="10" t="s">
        <v>149</v>
      </c>
    </row>
    <row r="19" spans="1:6" ht="15" customHeight="1" x14ac:dyDescent="0.2">
      <c r="A19" s="1" t="s">
        <v>150</v>
      </c>
      <c r="B19" s="1"/>
      <c r="C19" s="1"/>
      <c r="D19" s="1"/>
      <c r="E19" s="1"/>
      <c r="F19" s="1"/>
    </row>
    <row r="20" spans="1:6" ht="15" customHeight="1" x14ac:dyDescent="0.2">
      <c r="A20" s="7" t="s">
        <v>151</v>
      </c>
      <c r="B20" s="21" t="s">
        <v>152</v>
      </c>
      <c r="C20" s="9">
        <v>-239132</v>
      </c>
      <c r="D20" s="9">
        <v>-120040</v>
      </c>
      <c r="E20" s="23" t="s">
        <v>125</v>
      </c>
      <c r="F20" s="10" t="s">
        <v>153</v>
      </c>
    </row>
    <row r="21" spans="1:6" ht="15" customHeight="1" x14ac:dyDescent="0.2">
      <c r="A21" s="7" t="s">
        <v>154</v>
      </c>
      <c r="B21" s="21" t="s">
        <v>155</v>
      </c>
      <c r="C21" s="9">
        <v>-262100</v>
      </c>
      <c r="D21" s="9">
        <v>-140000</v>
      </c>
      <c r="E21" s="23" t="s">
        <v>125</v>
      </c>
      <c r="F21" s="10" t="s">
        <v>156</v>
      </c>
    </row>
    <row r="22" spans="1:6" ht="15" customHeight="1" x14ac:dyDescent="0.2">
      <c r="A22" s="7" t="s">
        <v>157</v>
      </c>
      <c r="B22" s="21" t="s">
        <v>158</v>
      </c>
      <c r="C22" s="9">
        <v>59580</v>
      </c>
      <c r="D22" s="9">
        <v>196510</v>
      </c>
      <c r="E22" s="23" t="s">
        <v>125</v>
      </c>
      <c r="F22" s="10" t="s">
        <v>159</v>
      </c>
    </row>
    <row r="23" spans="1:6" ht="15" customHeight="1" x14ac:dyDescent="0.2">
      <c r="A23" s="7" t="s">
        <v>160</v>
      </c>
      <c r="B23" s="21" t="s">
        <v>161</v>
      </c>
      <c r="C23" s="9">
        <v>-179932</v>
      </c>
      <c r="D23" s="9">
        <v>-93882</v>
      </c>
      <c r="E23" s="23" t="s">
        <v>125</v>
      </c>
      <c r="F23" s="10" t="s">
        <v>162</v>
      </c>
    </row>
    <row r="24" spans="1:6" ht="15" customHeight="1" x14ac:dyDescent="0.2">
      <c r="A24" s="7" t="s">
        <v>163</v>
      </c>
      <c r="B24" s="21" t="s">
        <v>164</v>
      </c>
      <c r="C24" s="9">
        <v>29107</v>
      </c>
      <c r="D24" s="9">
        <v>28680</v>
      </c>
      <c r="E24" s="23" t="s">
        <v>125</v>
      </c>
      <c r="F24" s="10" t="s">
        <v>165</v>
      </c>
    </row>
    <row r="25" spans="1:6" ht="15" customHeight="1" x14ac:dyDescent="0.2">
      <c r="A25" s="7" t="s">
        <v>166</v>
      </c>
      <c r="B25" s="21" t="s">
        <v>167</v>
      </c>
      <c r="C25" s="25">
        <f>C22/365</f>
        <v>163.23287671232876</v>
      </c>
      <c r="D25" s="25">
        <f>D22/365</f>
        <v>538.38356164383561</v>
      </c>
      <c r="E25" s="23" t="s">
        <v>168</v>
      </c>
      <c r="F25" s="10" t="s">
        <v>169</v>
      </c>
    </row>
    <row r="26" spans="1:6" ht="15" customHeight="1" x14ac:dyDescent="0.2">
      <c r="A26" s="7" t="s">
        <v>170</v>
      </c>
      <c r="B26" s="21" t="s">
        <v>171</v>
      </c>
      <c r="C26" s="9">
        <v>88398</v>
      </c>
      <c r="D26" s="9">
        <v>71335</v>
      </c>
      <c r="E26" s="23" t="s">
        <v>125</v>
      </c>
      <c r="F26" s="10" t="s">
        <v>172</v>
      </c>
    </row>
    <row r="27" spans="1:6" ht="15" customHeight="1" x14ac:dyDescent="0.2">
      <c r="A27" s="7" t="s">
        <v>173</v>
      </c>
      <c r="B27" s="21" t="s">
        <v>174</v>
      </c>
      <c r="C27" s="9">
        <v>330431</v>
      </c>
      <c r="D27" s="9">
        <v>335820</v>
      </c>
      <c r="E27" s="23" t="s">
        <v>125</v>
      </c>
      <c r="F27" s="10" t="s">
        <v>175</v>
      </c>
    </row>
    <row r="28" spans="1:6" ht="15" customHeight="1" x14ac:dyDescent="0.2">
      <c r="A28" s="7" t="s">
        <v>176</v>
      </c>
      <c r="B28" s="21" t="s">
        <v>177</v>
      </c>
      <c r="C28" s="9">
        <v>46668</v>
      </c>
      <c r="D28" s="9">
        <v>89123</v>
      </c>
      <c r="E28" s="23" t="s">
        <v>125</v>
      </c>
      <c r="F28" s="10" t="s">
        <v>178</v>
      </c>
    </row>
    <row r="29" spans="1:6" ht="15" customHeight="1" x14ac:dyDescent="0.2">
      <c r="A29" s="7" t="s">
        <v>179</v>
      </c>
      <c r="B29" s="21" t="s">
        <v>180</v>
      </c>
      <c r="C29" s="9">
        <v>13134</v>
      </c>
      <c r="D29" s="9">
        <v>14526</v>
      </c>
      <c r="E29" s="23" t="s">
        <v>125</v>
      </c>
      <c r="F29" s="10" t="s">
        <v>181</v>
      </c>
    </row>
    <row r="30" spans="1:6" ht="15" customHeight="1" x14ac:dyDescent="0.2">
      <c r="A30" s="7" t="s">
        <v>182</v>
      </c>
      <c r="B30" s="21" t="s">
        <v>183</v>
      </c>
      <c r="C30" s="9">
        <v>25807</v>
      </c>
      <c r="D30" s="9">
        <v>73066</v>
      </c>
      <c r="E30" s="23" t="s">
        <v>125</v>
      </c>
      <c r="F30" s="10" t="s">
        <v>184</v>
      </c>
    </row>
    <row r="31" spans="1:6" ht="15" customHeight="1" x14ac:dyDescent="0.2">
      <c r="A31" s="7" t="s">
        <v>185</v>
      </c>
      <c r="B31" s="21" t="s">
        <v>186</v>
      </c>
      <c r="C31" s="9">
        <v>341365</v>
      </c>
      <c r="D31" s="9">
        <v>349123</v>
      </c>
      <c r="E31" s="23" t="s">
        <v>125</v>
      </c>
      <c r="F31" s="10" t="s">
        <v>187</v>
      </c>
    </row>
    <row r="32" spans="1:6" ht="15" customHeight="1" x14ac:dyDescent="0.2">
      <c r="A32" s="7" t="s">
        <v>188</v>
      </c>
      <c r="B32" s="21" t="s">
        <v>189</v>
      </c>
      <c r="C32" s="9">
        <v>252698</v>
      </c>
      <c r="D32" s="9">
        <v>196059</v>
      </c>
      <c r="E32" s="23" t="s">
        <v>125</v>
      </c>
      <c r="F32" s="10" t="s">
        <v>190</v>
      </c>
    </row>
    <row r="33" spans="1:6" ht="15" customHeight="1" x14ac:dyDescent="0.2">
      <c r="A33" s="7" t="s">
        <v>191</v>
      </c>
      <c r="B33" s="21" t="s">
        <v>192</v>
      </c>
      <c r="C33" s="9">
        <v>88667</v>
      </c>
      <c r="D33" s="9">
        <v>153064</v>
      </c>
      <c r="E33" s="23" t="s">
        <v>125</v>
      </c>
      <c r="F33" s="10" t="s">
        <v>193</v>
      </c>
    </row>
    <row r="34" spans="1:6" ht="15" customHeight="1" x14ac:dyDescent="0.2">
      <c r="A34" s="7" t="s">
        <v>194</v>
      </c>
      <c r="B34" s="21" t="s">
        <v>195</v>
      </c>
      <c r="C34" s="9">
        <v>201799</v>
      </c>
      <c r="D34" s="9">
        <v>103337</v>
      </c>
      <c r="E34" s="23" t="s">
        <v>125</v>
      </c>
      <c r="F34" s="10" t="s">
        <v>196</v>
      </c>
    </row>
    <row r="35" spans="1:6" ht="15" customHeight="1" x14ac:dyDescent="0.2">
      <c r="A35" s="7" t="s">
        <v>197</v>
      </c>
      <c r="B35" s="21" t="s">
        <v>198</v>
      </c>
      <c r="C35" s="25">
        <f>C27-C28</f>
        <v>283763</v>
      </c>
      <c r="D35" s="25">
        <f>D27-D28</f>
        <v>246697</v>
      </c>
      <c r="E35" s="23" t="s">
        <v>125</v>
      </c>
      <c r="F35" s="10" t="s">
        <v>199</v>
      </c>
    </row>
    <row r="36" spans="1:6" ht="15" customHeight="1" x14ac:dyDescent="0.2">
      <c r="A36" s="7" t="s">
        <v>200</v>
      </c>
      <c r="B36" s="21" t="s">
        <v>201</v>
      </c>
      <c r="C36" s="25">
        <f>C34+C33</f>
        <v>290466</v>
      </c>
      <c r="D36" s="25">
        <f>D34+D33</f>
        <v>256401</v>
      </c>
      <c r="E36" s="23" t="s">
        <v>125</v>
      </c>
      <c r="F36" s="10" t="s">
        <v>202</v>
      </c>
    </row>
    <row r="37" spans="1:6" ht="15" customHeight="1" x14ac:dyDescent="0.2">
      <c r="A37" s="1" t="s">
        <v>203</v>
      </c>
      <c r="B37" s="1"/>
      <c r="C37" s="1"/>
      <c r="D37" s="1"/>
      <c r="E37" s="1"/>
      <c r="F37" s="1"/>
    </row>
    <row r="38" spans="1:6" ht="15" customHeight="1" x14ac:dyDescent="0.2">
      <c r="A38" s="7" t="s">
        <v>204</v>
      </c>
      <c r="B38" s="21" t="s">
        <v>205</v>
      </c>
      <c r="C38" s="25">
        <f>(C14+C33)/2</f>
        <v>88667</v>
      </c>
      <c r="D38" s="25">
        <f>(C14+D33)/2</f>
        <v>120865.5</v>
      </c>
      <c r="E38" s="23" t="s">
        <v>125</v>
      </c>
      <c r="F38" s="10" t="s">
        <v>206</v>
      </c>
    </row>
    <row r="39" spans="1:6" ht="15" customHeight="1" x14ac:dyDescent="0.2">
      <c r="A39" s="7" t="s">
        <v>207</v>
      </c>
      <c r="B39" s="21" t="s">
        <v>208</v>
      </c>
      <c r="C39" s="25">
        <f>(C17+C31)/2</f>
        <v>341365</v>
      </c>
      <c r="D39" s="25">
        <f>(C17+D31)/2</f>
        <v>345244</v>
      </c>
      <c r="E39" s="23" t="s">
        <v>125</v>
      </c>
      <c r="F39" s="10" t="s">
        <v>209</v>
      </c>
    </row>
    <row r="40" spans="1:6" ht="15" customHeight="1" x14ac:dyDescent="0.2">
      <c r="A40" s="7" t="s">
        <v>210</v>
      </c>
      <c r="B40" s="21" t="s">
        <v>211</v>
      </c>
      <c r="C40" s="25">
        <f>(C18+C36)/2</f>
        <v>290466</v>
      </c>
      <c r="D40" s="25">
        <f>(C18+D36)/2</f>
        <v>273433.5</v>
      </c>
      <c r="E40" s="23" t="s">
        <v>125</v>
      </c>
      <c r="F40" s="10" t="s">
        <v>212</v>
      </c>
    </row>
    <row r="41" spans="1:6" ht="15" customHeight="1" x14ac:dyDescent="0.2">
      <c r="A41" s="7" t="s">
        <v>213</v>
      </c>
      <c r="B41" s="21" t="s">
        <v>214</v>
      </c>
      <c r="C41" s="25">
        <f>C34+C33</f>
        <v>290466</v>
      </c>
      <c r="D41" s="25">
        <f>D34+D33</f>
        <v>256401</v>
      </c>
      <c r="E41" s="23" t="s">
        <v>125</v>
      </c>
      <c r="F41" s="10" t="s">
        <v>215</v>
      </c>
    </row>
    <row r="43" spans="1:6" ht="15.75" customHeight="1" x14ac:dyDescent="0.2">
      <c r="A43" s="3" t="s">
        <v>216</v>
      </c>
      <c r="B43" s="3"/>
      <c r="C43" s="3"/>
      <c r="D43" s="3"/>
      <c r="E43" s="3"/>
      <c r="F43" s="3"/>
    </row>
    <row r="44" spans="1:6" ht="15" customHeight="1" x14ac:dyDescent="0.2">
      <c r="A44" s="6" t="s">
        <v>217</v>
      </c>
      <c r="B44" s="6" t="s">
        <v>218</v>
      </c>
      <c r="C44" s="6" t="s">
        <v>111</v>
      </c>
      <c r="D44" s="6" t="s">
        <v>112</v>
      </c>
      <c r="E44" s="6" t="s">
        <v>113</v>
      </c>
      <c r="F44" s="6" t="s">
        <v>219</v>
      </c>
    </row>
    <row r="45" spans="1:6" ht="15" customHeight="1" x14ac:dyDescent="0.2">
      <c r="A45" s="1" t="s">
        <v>220</v>
      </c>
      <c r="B45" s="1"/>
      <c r="C45" s="1"/>
      <c r="D45" s="1"/>
      <c r="E45" s="1"/>
      <c r="F45" s="1"/>
    </row>
    <row r="46" spans="1:6" ht="27.75" customHeight="1" x14ac:dyDescent="0.2">
      <c r="A46" s="7" t="s">
        <v>221</v>
      </c>
      <c r="B46" s="27" t="s">
        <v>222</v>
      </c>
      <c r="C46" s="28">
        <f>C10-C33</f>
        <v>404946.69999999995</v>
      </c>
      <c r="D46" s="28">
        <f>D10-D33</f>
        <v>1615828.58</v>
      </c>
      <c r="E46" s="23" t="s">
        <v>125</v>
      </c>
      <c r="F46" s="10" t="s">
        <v>223</v>
      </c>
    </row>
    <row r="47" spans="1:6" ht="27.75" customHeight="1" x14ac:dyDescent="0.2">
      <c r="A47" s="7" t="s">
        <v>224</v>
      </c>
      <c r="B47" s="27" t="s">
        <v>225</v>
      </c>
      <c r="C47" s="29">
        <f>IFERROR(C10/C33,"-")</f>
        <v>5.5670508757485866</v>
      </c>
      <c r="D47" s="30">
        <f>IFERROR(D10/D33,"-")</f>
        <v>11.556555297130613</v>
      </c>
      <c r="E47" s="23" t="s">
        <v>226</v>
      </c>
      <c r="F47" s="10" t="s">
        <v>227</v>
      </c>
    </row>
    <row r="48" spans="1:6" ht="27.75" customHeight="1" x14ac:dyDescent="0.2">
      <c r="A48" s="7" t="s">
        <v>228</v>
      </c>
      <c r="B48" s="27" t="s">
        <v>229</v>
      </c>
      <c r="C48" s="28">
        <f>C20-(C11*C40)</f>
        <v>-268178.59999999998</v>
      </c>
      <c r="D48" s="28">
        <f>D20-(D11*D40)</f>
        <v>-147383.35</v>
      </c>
      <c r="E48" s="23" t="s">
        <v>125</v>
      </c>
      <c r="F48" s="10" t="s">
        <v>230</v>
      </c>
    </row>
    <row r="49" spans="1:6" ht="15" customHeight="1" x14ac:dyDescent="0.2">
      <c r="A49" s="1" t="s">
        <v>231</v>
      </c>
      <c r="B49" s="1"/>
      <c r="C49" s="1"/>
      <c r="D49" s="1"/>
      <c r="E49" s="1"/>
      <c r="F49" s="1"/>
    </row>
    <row r="50" spans="1:6" ht="27.75" customHeight="1" x14ac:dyDescent="0.2">
      <c r="A50" s="7" t="s">
        <v>232</v>
      </c>
      <c r="B50" s="27" t="s">
        <v>233</v>
      </c>
      <c r="C50" s="14">
        <f>IFERROR(C21/C17,"-")</f>
        <v>-0.76779986231746078</v>
      </c>
      <c r="D50" s="31">
        <f>IFERROR(D21/D17,"-")</f>
        <v>-0.41011820192462611</v>
      </c>
      <c r="E50" s="23" t="s">
        <v>129</v>
      </c>
      <c r="F50" s="10" t="s">
        <v>234</v>
      </c>
    </row>
    <row r="51" spans="1:6" ht="27.75" customHeight="1" x14ac:dyDescent="0.2">
      <c r="A51" s="7" t="s">
        <v>235</v>
      </c>
      <c r="B51" s="27" t="s">
        <v>236</v>
      </c>
      <c r="C51" s="14">
        <f>IFERROR(C20/C17,"-")</f>
        <v>-0.70051704187599784</v>
      </c>
      <c r="D51" s="31">
        <f>IFERROR(D20/D17,"-")</f>
        <v>-0.35164706399308659</v>
      </c>
      <c r="E51" s="23" t="s">
        <v>129</v>
      </c>
      <c r="F51" s="10" t="s">
        <v>237</v>
      </c>
    </row>
    <row r="52" spans="1:6" ht="27.75" customHeight="1" x14ac:dyDescent="0.2">
      <c r="A52" s="7" t="s">
        <v>238</v>
      </c>
      <c r="B52" s="27" t="s">
        <v>239</v>
      </c>
      <c r="C52" s="14">
        <f>IFERROR(C21/C14,"-")</f>
        <v>-2.9560039247972751</v>
      </c>
      <c r="D52" s="31">
        <f>IFERROR(D21/D14,"-")</f>
        <v>-1.5789414325510054</v>
      </c>
      <c r="E52" s="23" t="s">
        <v>129</v>
      </c>
      <c r="F52" s="10" t="s">
        <v>240</v>
      </c>
    </row>
    <row r="53" spans="1:6" ht="15" customHeight="1" x14ac:dyDescent="0.2">
      <c r="A53" s="1" t="s">
        <v>241</v>
      </c>
      <c r="B53" s="1"/>
      <c r="C53" s="1"/>
      <c r="D53" s="1"/>
      <c r="E53" s="1"/>
      <c r="F53" s="1"/>
    </row>
    <row r="54" spans="1:6" ht="27.75" customHeight="1" x14ac:dyDescent="0.2">
      <c r="A54" s="7" t="s">
        <v>242</v>
      </c>
      <c r="B54" s="27" t="s">
        <v>243</v>
      </c>
      <c r="C54" s="14">
        <f>IFERROR(C21/C39,"-")</f>
        <v>-0.76779986231746078</v>
      </c>
      <c r="D54" s="31">
        <f>IFERROR(D21/D39,"-")</f>
        <v>-0.40551030575477054</v>
      </c>
      <c r="E54" s="23" t="s">
        <v>129</v>
      </c>
      <c r="F54" s="10" t="s">
        <v>244</v>
      </c>
    </row>
    <row r="55" spans="1:6" ht="27.75" customHeight="1" x14ac:dyDescent="0.2">
      <c r="A55" s="7" t="s">
        <v>245</v>
      </c>
      <c r="B55" s="27" t="s">
        <v>246</v>
      </c>
      <c r="C55" s="14">
        <f>IFERROR(C20/C40,"-")</f>
        <v>-0.82327019341334273</v>
      </c>
      <c r="D55" s="31">
        <f>IFERROR(D20/D40,"-")</f>
        <v>-0.43900985065838677</v>
      </c>
      <c r="E55" s="23" t="s">
        <v>129</v>
      </c>
      <c r="F55" s="10" t="s">
        <v>247</v>
      </c>
    </row>
    <row r="56" spans="1:6" ht="27.75" customHeight="1" x14ac:dyDescent="0.2">
      <c r="A56" s="7" t="s">
        <v>248</v>
      </c>
      <c r="B56" s="27" t="s">
        <v>249</v>
      </c>
      <c r="C56" s="14">
        <f>IFERROR(C21/C38,"-")</f>
        <v>-2.9560039247972751</v>
      </c>
      <c r="D56" s="31">
        <f>IFERROR(D21/D38,"-")</f>
        <v>-1.1583123389221903</v>
      </c>
      <c r="E56" s="23" t="s">
        <v>129</v>
      </c>
      <c r="F56" s="10" t="s">
        <v>250</v>
      </c>
    </row>
    <row r="57" spans="1:6" ht="15" customHeight="1" x14ac:dyDescent="0.2">
      <c r="A57" s="1" t="s">
        <v>251</v>
      </c>
      <c r="B57" s="1"/>
      <c r="C57" s="1"/>
      <c r="D57" s="1"/>
      <c r="E57" s="1"/>
      <c r="F57" s="1"/>
    </row>
    <row r="58" spans="1:6" ht="27.75" customHeight="1" x14ac:dyDescent="0.2">
      <c r="A58" s="7" t="s">
        <v>252</v>
      </c>
      <c r="B58" s="27" t="s">
        <v>253</v>
      </c>
      <c r="C58" s="29">
        <f>IFERROR(C22/C39,"-")</f>
        <v>0.17453458907620875</v>
      </c>
      <c r="D58" s="30">
        <f>IFERROR(D22/D39,"-")</f>
        <v>0.56919164417049972</v>
      </c>
      <c r="E58" s="23" t="s">
        <v>226</v>
      </c>
      <c r="F58" s="10" t="s">
        <v>254</v>
      </c>
    </row>
    <row r="59" spans="1:6" ht="27.75" customHeight="1" x14ac:dyDescent="0.2">
      <c r="A59" s="7" t="s">
        <v>255</v>
      </c>
      <c r="B59" s="27" t="s">
        <v>256</v>
      </c>
      <c r="C59" s="29">
        <f>IFERROR(C22/C30,"-")</f>
        <v>2.3086759406362614</v>
      </c>
      <c r="D59" s="30">
        <f>IFERROR(D22/D30,"-")</f>
        <v>2.6894862179399448</v>
      </c>
      <c r="E59" s="23" t="s">
        <v>226</v>
      </c>
      <c r="F59" s="10" t="s">
        <v>257</v>
      </c>
    </row>
    <row r="60" spans="1:6" ht="27.75" customHeight="1" x14ac:dyDescent="0.2">
      <c r="A60" s="7" t="s">
        <v>258</v>
      </c>
      <c r="B60" s="27" t="s">
        <v>259</v>
      </c>
      <c r="C60" s="32">
        <f>IFERROR(365/C59,"-")</f>
        <v>158.09927828130245</v>
      </c>
      <c r="D60" s="33">
        <f>IFERROR(365/D59,"-")</f>
        <v>135.7136532491985</v>
      </c>
      <c r="E60" s="23" t="s">
        <v>260</v>
      </c>
      <c r="F60" s="10" t="s">
        <v>261</v>
      </c>
    </row>
    <row r="61" spans="1:6" ht="27.75" customHeight="1" x14ac:dyDescent="0.2">
      <c r="A61" s="7" t="s">
        <v>262</v>
      </c>
      <c r="B61" s="27" t="s">
        <v>263</v>
      </c>
      <c r="C61" s="29">
        <f>IFERROR(C19/C29,"-")</f>
        <v>0</v>
      </c>
      <c r="D61" s="30">
        <f>IFERROR(D19/D29,"-")</f>
        <v>0</v>
      </c>
      <c r="E61" s="23" t="s">
        <v>226</v>
      </c>
      <c r="F61" s="10" t="s">
        <v>264</v>
      </c>
    </row>
    <row r="62" spans="1:6" ht="27.75" customHeight="1" x14ac:dyDescent="0.2">
      <c r="A62" s="7" t="s">
        <v>265</v>
      </c>
      <c r="B62" s="27" t="s">
        <v>266</v>
      </c>
      <c r="C62" s="32" t="str">
        <f>IFERROR(365/C61,"-")</f>
        <v>-</v>
      </c>
      <c r="D62" s="33" t="str">
        <f>IFERROR(365/D61,"-")</f>
        <v>-</v>
      </c>
      <c r="E62" s="23" t="s">
        <v>260</v>
      </c>
      <c r="F62" s="10" t="s">
        <v>267</v>
      </c>
    </row>
    <row r="63" spans="1:6" ht="27.75" customHeight="1" x14ac:dyDescent="0.2">
      <c r="A63" s="7" t="s">
        <v>268</v>
      </c>
      <c r="B63" s="27" t="s">
        <v>269</v>
      </c>
      <c r="C63" s="14">
        <f>IFERROR(C21/C22,"-")</f>
        <v>-4.3991272239006376</v>
      </c>
      <c r="D63" s="31">
        <f>IFERROR(D21/D22,"-")</f>
        <v>-0.71243193730598953</v>
      </c>
      <c r="E63" s="23" t="s">
        <v>129</v>
      </c>
      <c r="F63" s="10" t="s">
        <v>270</v>
      </c>
    </row>
    <row r="64" spans="1:6" ht="27.75" customHeight="1" x14ac:dyDescent="0.2">
      <c r="A64" s="7" t="s">
        <v>271</v>
      </c>
      <c r="B64" s="27" t="s">
        <v>272</v>
      </c>
      <c r="C64" s="14">
        <f>IFERROR(C23/C22,"-")</f>
        <v>-3.020006713662303</v>
      </c>
      <c r="D64" s="31">
        <f>IFERROR(D23/D22,"-")</f>
        <v>-0.4777466795582922</v>
      </c>
      <c r="E64" s="23" t="s">
        <v>129</v>
      </c>
      <c r="F64" s="10" t="s">
        <v>273</v>
      </c>
    </row>
    <row r="65" spans="1:6" ht="15" customHeight="1" x14ac:dyDescent="0.2">
      <c r="A65" s="1" t="s">
        <v>274</v>
      </c>
      <c r="B65" s="1"/>
      <c r="C65" s="1"/>
      <c r="D65" s="1"/>
      <c r="E65" s="1"/>
      <c r="F65" s="1"/>
    </row>
    <row r="66" spans="1:6" ht="27.75" customHeight="1" x14ac:dyDescent="0.2">
      <c r="A66" s="7" t="s">
        <v>275</v>
      </c>
      <c r="B66" s="27" t="s">
        <v>276</v>
      </c>
      <c r="C66" s="14">
        <f>IFERROR(C34/(C34+C33),"-")</f>
        <v>0.69474224177700661</v>
      </c>
      <c r="D66" s="31">
        <f>IFERROR(D34/(D34+D33),"-")</f>
        <v>0.40302884934146121</v>
      </c>
      <c r="E66" s="23" t="s">
        <v>129</v>
      </c>
      <c r="F66" s="10" t="s">
        <v>277</v>
      </c>
    </row>
    <row r="67" spans="1:6" ht="27.75" customHeight="1" x14ac:dyDescent="0.2">
      <c r="A67" s="7" t="s">
        <v>278</v>
      </c>
      <c r="B67" s="27" t="s">
        <v>279</v>
      </c>
      <c r="C67" s="29">
        <f>IFERROR(C34/C33,"-")</f>
        <v>2.2759200153382881</v>
      </c>
      <c r="D67" s="30">
        <f>IFERROR(D34/D33,"-")</f>
        <v>0.67512282443945015</v>
      </c>
      <c r="E67" s="23" t="s">
        <v>226</v>
      </c>
      <c r="F67" s="10" t="s">
        <v>280</v>
      </c>
    </row>
    <row r="68" spans="1:6" ht="27.75" customHeight="1" x14ac:dyDescent="0.2">
      <c r="A68" s="7" t="s">
        <v>281</v>
      </c>
      <c r="B68" s="27" t="s">
        <v>282</v>
      </c>
      <c r="C68" s="14">
        <f>IFERROR(C32/C31,"-")</f>
        <v>0.7402574956424941</v>
      </c>
      <c r="D68" s="31">
        <f>IFERROR(D32/D31,"-")</f>
        <v>0.56157571973201426</v>
      </c>
      <c r="E68" s="23" t="s">
        <v>129</v>
      </c>
      <c r="F68" s="10" t="s">
        <v>283</v>
      </c>
    </row>
    <row r="69" spans="1:6" ht="27.75" customHeight="1" x14ac:dyDescent="0.2">
      <c r="A69" s="7" t="s">
        <v>284</v>
      </c>
      <c r="B69" s="27" t="s">
        <v>285</v>
      </c>
      <c r="C69" s="29">
        <f>IFERROR(C23/C24,"-")</f>
        <v>-6.1817432232796232</v>
      </c>
      <c r="D69" s="30">
        <f>IFERROR(D23/D24,"-")</f>
        <v>-3.2734309623430962</v>
      </c>
      <c r="E69" s="23" t="s">
        <v>226</v>
      </c>
      <c r="F69" s="10" t="s">
        <v>286</v>
      </c>
    </row>
    <row r="70" spans="1:6" ht="27.75" customHeight="1" x14ac:dyDescent="0.2">
      <c r="A70" s="7" t="s">
        <v>287</v>
      </c>
      <c r="B70" s="27" t="s">
        <v>288</v>
      </c>
      <c r="C70" s="29">
        <f>IFERROR((C23+C25)/C24,"-")</f>
        <v>-6.1761351950832326</v>
      </c>
      <c r="D70" s="30">
        <f>IFERROR((D23+D25)/D24,"-")</f>
        <v>-3.2546588716302711</v>
      </c>
      <c r="E70" s="23" t="s">
        <v>226</v>
      </c>
      <c r="F70" s="10" t="s">
        <v>289</v>
      </c>
    </row>
    <row r="71" spans="1:6" ht="27.75" customHeight="1" x14ac:dyDescent="0.2">
      <c r="A71" s="7" t="s">
        <v>290</v>
      </c>
      <c r="B71" s="27" t="s">
        <v>291</v>
      </c>
      <c r="C71" s="29">
        <f>IFERROR(C34/C24,"-")</f>
        <v>6.9330058061634654</v>
      </c>
      <c r="D71" s="30">
        <f>IFERROR(D34/D24,"-")</f>
        <v>3.6031032078103209</v>
      </c>
      <c r="E71" s="23" t="s">
        <v>226</v>
      </c>
      <c r="F71" s="10" t="s">
        <v>292</v>
      </c>
    </row>
    <row r="72" spans="1:6" ht="27.75" customHeight="1" x14ac:dyDescent="0.2">
      <c r="A72" s="7" t="s">
        <v>293</v>
      </c>
      <c r="B72" s="27" t="s">
        <v>294</v>
      </c>
      <c r="C72" s="29">
        <f>IFERROR(C31/C33,"-")</f>
        <v>3.8499667294483855</v>
      </c>
      <c r="D72" s="30">
        <f>IFERROR(D31/D33,"-")</f>
        <v>2.2808955730936078</v>
      </c>
      <c r="E72" s="23" t="s">
        <v>226</v>
      </c>
      <c r="F72" s="10" t="s">
        <v>295</v>
      </c>
    </row>
    <row r="73" spans="1:6" ht="15" customHeight="1" x14ac:dyDescent="0.2">
      <c r="A73" s="1" t="s">
        <v>296</v>
      </c>
      <c r="B73" s="1"/>
      <c r="C73" s="1"/>
      <c r="D73" s="1"/>
      <c r="E73" s="1"/>
      <c r="F73" s="1"/>
    </row>
    <row r="74" spans="1:6" ht="27.75" customHeight="1" x14ac:dyDescent="0.2">
      <c r="A74" s="7" t="s">
        <v>297</v>
      </c>
      <c r="B74" s="27" t="s">
        <v>298</v>
      </c>
      <c r="C74" s="14">
        <f>IFERROR(C35/C31,"-")</f>
        <v>0.83125979523384064</v>
      </c>
      <c r="D74" s="31">
        <f>IFERROR(D35/D31,"-")</f>
        <v>0.70661915714518952</v>
      </c>
      <c r="E74" s="23" t="s">
        <v>129</v>
      </c>
      <c r="F74" s="10" t="s">
        <v>299</v>
      </c>
    </row>
    <row r="75" spans="1:6" ht="27.75" customHeight="1" x14ac:dyDescent="0.2">
      <c r="A75" s="7" t="s">
        <v>300</v>
      </c>
      <c r="B75" s="27" t="s">
        <v>301</v>
      </c>
      <c r="C75" s="29">
        <f>IFERROR(C27/C28,"-")</f>
        <v>7.0804619868003771</v>
      </c>
      <c r="D75" s="30">
        <f>IFERROR(D27/D28,"-")</f>
        <v>3.7680508959527845</v>
      </c>
      <c r="E75" s="23" t="s">
        <v>226</v>
      </c>
      <c r="F75" s="10" t="s">
        <v>302</v>
      </c>
    </row>
    <row r="76" spans="1:6" ht="27.75" customHeight="1" x14ac:dyDescent="0.2">
      <c r="A76" s="7" t="s">
        <v>303</v>
      </c>
      <c r="B76" s="27" t="s">
        <v>304</v>
      </c>
      <c r="C76" s="29">
        <f>IFERROR((C27-C29)/C28,"-")</f>
        <v>6.7990271706522671</v>
      </c>
      <c r="D76" s="30">
        <f>IFERROR((D27-D29)/D28,"-")</f>
        <v>3.6050626662028882</v>
      </c>
      <c r="E76" s="23" t="s">
        <v>226</v>
      </c>
      <c r="F76" s="10" t="s">
        <v>305</v>
      </c>
    </row>
    <row r="77" spans="1:6" ht="27.75" customHeight="1" x14ac:dyDescent="0.2">
      <c r="A77" s="7" t="s">
        <v>306</v>
      </c>
      <c r="B77" s="27" t="s">
        <v>307</v>
      </c>
      <c r="C77" s="29">
        <f>IFERROR(C26/C28,"-")</f>
        <v>1.8941887374646438</v>
      </c>
      <c r="D77" s="30">
        <f>IFERROR(D26/D28,"-")</f>
        <v>0.80041066840209596</v>
      </c>
      <c r="E77" s="23" t="s">
        <v>226</v>
      </c>
      <c r="F77" s="10" t="s">
        <v>308</v>
      </c>
    </row>
    <row r="78" spans="1:6" ht="15" customHeight="1" x14ac:dyDescent="0.2">
      <c r="A78" s="1" t="s">
        <v>309</v>
      </c>
      <c r="B78" s="1"/>
      <c r="C78" s="1"/>
      <c r="D78" s="1"/>
      <c r="E78" s="1"/>
      <c r="F78" s="1"/>
    </row>
    <row r="79" spans="1:6" ht="27.75" customHeight="1" x14ac:dyDescent="0.2">
      <c r="A79" s="7" t="s">
        <v>310</v>
      </c>
      <c r="B79" s="27" t="s">
        <v>269</v>
      </c>
      <c r="C79" s="14">
        <f>IFERROR(C21/C22,"-")</f>
        <v>-4.3991272239006376</v>
      </c>
      <c r="D79" s="31">
        <f>IFERROR(D21/D22,"-")</f>
        <v>-0.71243193730598953</v>
      </c>
      <c r="E79" s="23" t="s">
        <v>129</v>
      </c>
      <c r="F79" s="10" t="s">
        <v>311</v>
      </c>
    </row>
    <row r="80" spans="1:6" ht="27.75" customHeight="1" x14ac:dyDescent="0.2">
      <c r="A80" s="7" t="s">
        <v>312</v>
      </c>
      <c r="B80" s="27" t="s">
        <v>253</v>
      </c>
      <c r="C80" s="29">
        <f>IFERROR(C22/C39,"-")</f>
        <v>0.17453458907620875</v>
      </c>
      <c r="D80" s="30">
        <f>IFERROR(D22/D39,"-")</f>
        <v>0.56919164417049972</v>
      </c>
      <c r="E80" s="23" t="s">
        <v>226</v>
      </c>
      <c r="F80" s="10" t="s">
        <v>313</v>
      </c>
    </row>
    <row r="81" spans="1:6" ht="27.75" customHeight="1" x14ac:dyDescent="0.2">
      <c r="A81" s="7" t="s">
        <v>314</v>
      </c>
      <c r="B81" s="27" t="s">
        <v>315</v>
      </c>
      <c r="C81" s="29">
        <f>IFERROR(C39/C38,"-")</f>
        <v>3.8499667294483855</v>
      </c>
      <c r="D81" s="30">
        <f>IFERROR(D39/D38,"-")</f>
        <v>2.8564313224203763</v>
      </c>
      <c r="E81" s="23" t="s">
        <v>226</v>
      </c>
      <c r="F81" s="10" t="s">
        <v>316</v>
      </c>
    </row>
    <row r="82" spans="1:6" ht="27.75" customHeight="1" x14ac:dyDescent="0.2">
      <c r="A82" s="7" t="s">
        <v>317</v>
      </c>
      <c r="B82" s="27" t="s">
        <v>318</v>
      </c>
      <c r="C82" s="14">
        <f>IFERROR(C79*C80*C81,"-")</f>
        <v>-2.9560039247972751</v>
      </c>
      <c r="D82" s="31">
        <f>IFERROR(D79*D80*D81,"-")</f>
        <v>-1.1583123389221903</v>
      </c>
      <c r="E82" s="23" t="s">
        <v>129</v>
      </c>
      <c r="F82" s="10" t="s">
        <v>319</v>
      </c>
    </row>
    <row r="83" spans="1:6" ht="27.75" customHeight="1" x14ac:dyDescent="0.2">
      <c r="A83" s="7" t="s">
        <v>320</v>
      </c>
      <c r="B83" s="27" t="s">
        <v>321</v>
      </c>
      <c r="C83" s="14">
        <f>IFERROR(C79*C80,"-")</f>
        <v>-0.76779986231746078</v>
      </c>
      <c r="D83" s="31">
        <f>IFERROR(D79*D80,"-")</f>
        <v>-0.40551030575477054</v>
      </c>
      <c r="E83" s="23" t="s">
        <v>129</v>
      </c>
      <c r="F83" s="10" t="s">
        <v>322</v>
      </c>
    </row>
  </sheetData>
  <mergeCells count="15">
    <mergeCell ref="A53:F53"/>
    <mergeCell ref="A57:F57"/>
    <mergeCell ref="A65:F65"/>
    <mergeCell ref="A73:F73"/>
    <mergeCell ref="A78:F78"/>
    <mergeCell ref="A19:F19"/>
    <mergeCell ref="A37:F37"/>
    <mergeCell ref="A43:F43"/>
    <mergeCell ref="A45:F45"/>
    <mergeCell ref="A49:F49"/>
    <mergeCell ref="A1:F1"/>
    <mergeCell ref="A2:F2"/>
    <mergeCell ref="A5:F5"/>
    <mergeCell ref="A7:F7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70" customWidth="1"/>
  </cols>
  <sheetData>
    <row r="1" spans="1:2" ht="21.75" customHeight="1" x14ac:dyDescent="0.2">
      <c r="A1" s="5" t="s">
        <v>323</v>
      </c>
      <c r="B1" s="5"/>
    </row>
    <row r="2" spans="1:2" ht="39.75" customHeight="1" x14ac:dyDescent="0.2">
      <c r="A2" s="34" t="s">
        <v>324</v>
      </c>
      <c r="B2" s="35" t="s">
        <v>325</v>
      </c>
    </row>
    <row r="3" spans="1:2" ht="39.75" customHeight="1" x14ac:dyDescent="0.2">
      <c r="A3" s="36" t="s">
        <v>326</v>
      </c>
      <c r="B3" s="37" t="s">
        <v>327</v>
      </c>
    </row>
    <row r="4" spans="1:2" ht="39.75" customHeight="1" x14ac:dyDescent="0.2">
      <c r="A4" s="34" t="s">
        <v>328</v>
      </c>
      <c r="B4" s="35" t="s">
        <v>329</v>
      </c>
    </row>
    <row r="5" spans="1:2" ht="39.75" customHeight="1" x14ac:dyDescent="0.2">
      <c r="A5" s="36" t="s">
        <v>330</v>
      </c>
      <c r="B5" s="37" t="s">
        <v>331</v>
      </c>
    </row>
    <row r="6" spans="1:2" ht="39.75" customHeight="1" x14ac:dyDescent="0.2">
      <c r="A6" s="34" t="s">
        <v>332</v>
      </c>
      <c r="B6" s="35" t="s">
        <v>333</v>
      </c>
    </row>
    <row r="7" spans="1:2" ht="39.75" customHeight="1" x14ac:dyDescent="0.2">
      <c r="A7" s="36" t="s">
        <v>334</v>
      </c>
      <c r="B7" s="37" t="s">
        <v>335</v>
      </c>
    </row>
    <row r="8" spans="1:2" ht="39.75" customHeight="1" x14ac:dyDescent="0.2">
      <c r="A8" s="34" t="s">
        <v>336</v>
      </c>
      <c r="B8" s="35" t="s">
        <v>337</v>
      </c>
    </row>
    <row r="9" spans="1:2" ht="39.75" customHeight="1" x14ac:dyDescent="0.2">
      <c r="A9" s="36" t="s">
        <v>338</v>
      </c>
      <c r="B9" s="37" t="s">
        <v>339</v>
      </c>
    </row>
    <row r="10" spans="1:2" ht="39.75" customHeight="1" x14ac:dyDescent="0.2">
      <c r="A10" s="34" t="s">
        <v>340</v>
      </c>
      <c r="B10" s="35" t="s">
        <v>341</v>
      </c>
    </row>
    <row r="11" spans="1:2" ht="39.75" customHeight="1" x14ac:dyDescent="0.2">
      <c r="A11" s="36" t="s">
        <v>342</v>
      </c>
      <c r="B11" s="37" t="s">
        <v>343</v>
      </c>
    </row>
    <row r="12" spans="1:2" ht="39.75" customHeight="1" x14ac:dyDescent="0.2">
      <c r="A12" s="34" t="s">
        <v>344</v>
      </c>
      <c r="B12" s="35" t="s">
        <v>345</v>
      </c>
    </row>
    <row r="13" spans="1:2" ht="39.75" customHeight="1" x14ac:dyDescent="0.2">
      <c r="A13" s="36" t="s">
        <v>346</v>
      </c>
      <c r="B13" s="37" t="s">
        <v>347</v>
      </c>
    </row>
    <row r="14" spans="1:2" ht="39.75" customHeight="1" x14ac:dyDescent="0.2">
      <c r="A14" s="34" t="s">
        <v>348</v>
      </c>
      <c r="B14" s="35" t="s">
        <v>349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 Statement</vt:lpstr>
      <vt:lpstr>Ratios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jacie s</cp:lastModifiedBy>
  <cp:revision>0</cp:revision>
  <dcterms:created xsi:type="dcterms:W3CDTF">2026-04-11T01:02:43Z</dcterms:created>
  <dcterms:modified xsi:type="dcterms:W3CDTF">2026-04-11T01:12:11Z</dcterms:modified>
  <dc:language>en-US</dc:language>
</cp:coreProperties>
</file>